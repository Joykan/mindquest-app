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ystem tests" sheetId="2" state="visible" r:id="rId4"/>
    <sheet name="Summary" sheetId="3" state="visible" r:id="rId5"/>
    <sheet name="UAT tasks" sheetId="4" state="visible" r:id="rId6"/>
    <sheet name="SUS" sheetId="5" state="visible" r:id="rId7"/>
    <sheet name="Likert" sheetId="6" state="visible" r:id="rId8"/>
    <sheet name="Bugs" sheetId="7" state="visible" r:id="rId9"/>
  </sheets>
  <definedNames>
    <definedName function="false" hidden="true" localSheetId="1" name="_xlnm._FilterDatabase" vbProcedure="false">'System tests'!$A$1:$I$49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<sst xmlns="http://schemas.openxmlformats.org/spreadsheetml/2006/main" count="517" uniqueCount="381">
  <si>
    <t xml:space="preserve">MindQuest – testing workbook (step 12)</t>
  </si>
  <si>
    <t xml:space="preserve">Use this workbook for system testing (your own tests on the phone and dashboard) and to analyse the user acceptance test (UAT) answers from the Google Form.</t>
  </si>
  <si>
    <t xml:space="preserve">How to fill it in</t>
  </si>
  <si>
    <t xml:space="preserve">• Only type in the YELLOW cells. Everything else (totals, percentages, SUS scores) is worked out by formulas.</t>
  </si>
  <si>
    <t xml:space="preserve">• System tests: run each test on the phone, choose Pass / Fail / Blocked / Not run, and write what happened in Notes. Add a row in Bugs for every Fail.</t>
  </si>
  <si>
    <t xml:space="preserve">• Summary: updates by itself from the System tests sheet.</t>
  </si>
  <si>
    <t xml:space="preserve">• UAT tasks: copy the counts from the Google Form task grid (Responses → Summary).</t>
  </si>
  <si>
    <t xml:space="preserve">• SUS: paste each participant's 10 SUS answers (1 = strongly disagree … 5 = strongly agree) in one row. The score (0–100) appears on the right. Row 4 is an example and is not counted.</t>
  </si>
  <si>
    <t xml:space="preserve">• Likert: copy how many people chose 1, 2, 3, 4 and 5 for each statement (Google Form summary shows these counts).</t>
  </si>
  <si>
    <t xml:space="preserve">Notes</t>
  </si>
  <si>
    <t xml:space="preserve">• The Covers column uses the proposal's requirement IDs where known (FR 3 gamification, FR 4 articles, FR 5 helplines/crisis, FR 7 and UC-06 reporting, UC-01 chat, UC-02 mood). Check them against the proposal and adjust.</t>
  </si>
  <si>
    <t xml:space="preserve">• SUS scoring: odd items score−1, even items 5−score, sum × 2.5 (Brooke, 1996). 68 is the commonly used average; above 68 is above average usability.</t>
  </si>
  <si>
    <t xml:space="preserve">• Performance targets (replies within 3 s, start within 5 s) are working targets; use the proposal's NFR values if they differ.</t>
  </si>
  <si>
    <t xml:space="preserve">ID</t>
  </si>
  <si>
    <t xml:space="preserve">Area</t>
  </si>
  <si>
    <t xml:space="preserve">Covers</t>
  </si>
  <si>
    <t xml:space="preserve">Steps</t>
  </si>
  <si>
    <t xml:space="preserve">Expected result</t>
  </si>
  <si>
    <t xml:space="preserve">Result</t>
  </si>
  <si>
    <t xml:space="preserve">Notes / what happened</t>
  </si>
  <si>
    <t xml:space="preserve">Date</t>
  </si>
  <si>
    <t xml:space="preserve">Device</t>
  </si>
  <si>
    <t xml:space="preserve">ST-01</t>
  </si>
  <si>
    <t xml:space="preserve">Sign-in and onboarding</t>
  </si>
  <si>
    <t xml:space="preserve">Accounts</t>
  </si>
  <si>
    <t xml:space="preserve">Fresh install. Welcome → Continue anonymously. Enter a nickname, pick English, tick the privacy box, Let's go.</t>
  </si>
  <si>
    <t xml:space="preserve">Home opens with "Hi, &lt;nickname&gt;" and today's date.</t>
  </si>
  <si>
    <t xml:space="preserve">Not run</t>
  </si>
  <si>
    <t xml:space="preserve">ST-02</t>
  </si>
  <si>
    <t xml:space="preserve">On onboarding, leave the privacy box unticked.</t>
  </si>
  <si>
    <t xml:space="preserve">Let's go stays disabled until it is ticked.</t>
  </si>
  <si>
    <t xml:space="preserve">ST-03</t>
  </si>
  <si>
    <t xml:space="preserve">Create account with a wrong email (abc), then a 5-letter password, then valid details.</t>
  </si>
  <si>
    <t xml:space="preserve">Clear error for each wrong field; valid details create the account (or ask to confirm the email).</t>
  </si>
  <si>
    <t xml:space="preserve">ST-04</t>
  </si>
  <si>
    <t xml:space="preserve">Sign in with the right email and a wrong password.</t>
  </si>
  <si>
    <t xml:space="preserve">"That email or password is not right." No crash.</t>
  </si>
  <si>
    <t xml:space="preserve">ST-05</t>
  </si>
  <si>
    <t xml:space="preserve">Welcome → Continue with Google, pick an account.</t>
  </si>
  <si>
    <t xml:space="preserve">Comes back to the app signed in (Onboarding for a new account, Home otherwise).</t>
  </si>
  <si>
    <t xml:space="preserve">ST-06</t>
  </si>
  <si>
    <t xml:space="preserve">Anonymous account: Profile → Save your progress → email → enter the 6-digit code → set a password.</t>
  </si>
  <si>
    <t xml:space="preserve">Profile shows the email; signing in on another phone shows the same XP.</t>
  </si>
  <si>
    <t xml:space="preserve">ST-07</t>
  </si>
  <si>
    <t xml:space="preserve">Anonymous account: Profile → Sign out.</t>
  </si>
  <si>
    <t xml:space="preserve">Warning that data can't be recovered; Stay keeps you signed in.</t>
  </si>
  <si>
    <t xml:space="preserve">ST-08</t>
  </si>
  <si>
    <t xml:space="preserve">Privacy</t>
  </si>
  <si>
    <t xml:space="preserve">NFR privacy</t>
  </si>
  <si>
    <t xml:space="preserve">Profile → Delete my data → type DELETE (or FUTA) → Delete.</t>
  </si>
  <si>
    <t xml:space="preserve">Back on Welcome; signing in again with the same account is not possible; dashboard student count drops by 1.</t>
  </si>
  <si>
    <t xml:space="preserve">ST-09</t>
  </si>
  <si>
    <t xml:space="preserve">Language</t>
  </si>
  <si>
    <t xml:space="preserve">Bilingual (EN/SW)</t>
  </si>
  <si>
    <t xml:space="preserve">Profile → Language → SW. Visit every tab, then chat "habari".</t>
  </si>
  <si>
    <t xml:space="preserve">All screens in Kiswahili (dates too); Chipu replies in Kiswahili. Switch back to EN works.</t>
  </si>
  <si>
    <t xml:space="preserve">ST-10</t>
  </si>
  <si>
    <t xml:space="preserve">Chatbot</t>
  </si>
  <si>
    <t xml:space="preserve">UC-01</t>
  </si>
  <si>
    <t xml:space="preserve">Chat: "Hi, my name is Amani".</t>
  </si>
  <si>
    <t xml:space="preserve">Chipu greets Amani by name.</t>
  </si>
  <si>
    <t xml:space="preserve">ST-11</t>
  </si>
  <si>
    <t xml:space="preserve">Chat: "I'm so stressed about exams", then "yes" to the breathing offer.</t>
  </si>
  <si>
    <t xml:space="preserve">Supportive stress reply with a breathing offer; "yes" gives the breathing steps.</t>
  </si>
  <si>
    <t xml:space="preserve">ST-12</t>
  </si>
  <si>
    <t xml:space="preserve">Chat in Kiswahili: "nina wasiwasi sana kuhusu kesho".</t>
  </si>
  <si>
    <t xml:space="preserve">Reply about worry, in the profile language.</t>
  </si>
  <si>
    <t xml:space="preserve">ST-13</t>
  </si>
  <si>
    <t xml:space="preserve">Chat in Sheng/mixed: "niko na stress mbaya sana".</t>
  </si>
  <si>
    <t xml:space="preserve">Understood as stress.</t>
  </si>
  <si>
    <t xml:space="preserve">ST-14</t>
  </si>
  <si>
    <t xml:space="preserve">Chat nonsense: "qwerty zxcv".</t>
  </si>
  <si>
    <t xml:space="preserve">Polite "I didn't understand" reply with suggestions; no crash.</t>
  </si>
  <si>
    <t xml:space="preserve">ST-15</t>
  </si>
  <si>
    <t xml:space="preserve">Crisis detection</t>
  </si>
  <si>
    <t xml:space="preserve">FR 5 (crisis support)</t>
  </si>
  <si>
    <t xml:space="preserve">Chat: "I want to end it all".</t>
  </si>
  <si>
    <t xml:space="preserve">Crisis sheet with verified helplines (or 999/112). Tapping outside or Back doesn't close it; Call opens the dialer with the number.</t>
  </si>
  <si>
    <t xml:space="preserve">ST-16</t>
  </si>
  <si>
    <t xml:space="preserve">Kiswahili profile. Chat: "nataka kujiua".</t>
  </si>
  <si>
    <t xml:space="preserve">Crisis sheet in Kiswahili.</t>
  </si>
  <si>
    <t xml:space="preserve">ST-17</t>
  </si>
  <si>
    <t xml:space="preserve">Tap each quick-reply chip.</t>
  </si>
  <si>
    <t xml:space="preserve">Each sends its text and gets a fitting reply.</t>
  </si>
  <si>
    <t xml:space="preserve">ST-18</t>
  </si>
  <si>
    <t xml:space="preserve">UC-01, UC-02</t>
  </si>
  <si>
    <t xml:space="preserve">Chat → "Check in my mood" chip → pick a face.</t>
  </si>
  <si>
    <t xml:space="preserve">Mood saved, week graph shown, +10 XP for the first check-in of the day.</t>
  </si>
  <si>
    <t xml:space="preserve">ST-19</t>
  </si>
  <si>
    <t xml:space="preserve">New chat (confirm). Then Past chats → open the previous chat.</t>
  </si>
  <si>
    <t xml:space="preserve">Fresh greeting; the old chat is listed with its first message and opens read-only.</t>
  </si>
  <si>
    <t xml:space="preserve">ST-20</t>
  </si>
  <si>
    <t xml:space="preserve">Performance</t>
  </si>
  <si>
    <t xml:space="preserve">NFR performance</t>
  </si>
  <si>
    <t xml:space="preserve">Send 5 normal messages; time each reply with a stopwatch (from tapping send to the reply).</t>
  </si>
  <si>
    <t xml:space="preserve">Every reply within 3 seconds (write the 5 times in Notes).</t>
  </si>
  <si>
    <t xml:space="preserve">ST-21</t>
  </si>
  <si>
    <t xml:space="preserve">Mood tracking</t>
  </si>
  <si>
    <t xml:space="preserve">UC-02, FR-SPEC-01</t>
  </si>
  <si>
    <t xml:space="preserve">Mood tab: pick Low, tags School + Sleep, a note, Save.</t>
  </si>
  <si>
    <t xml:space="preserve">Chipu thinks, then the summary with +10 XP, streak, tags and insights; Done goes Home.</t>
  </si>
  <si>
    <t xml:space="preserve">ST-22</t>
  </si>
  <si>
    <t xml:space="preserve">Check in again the same day.</t>
  </si>
  <si>
    <t xml:space="preserve">Saved, but no extra XP (the summary has no +10 XP).</t>
  </si>
  <si>
    <t xml:space="preserve">ST-23</t>
  </si>
  <si>
    <t xml:space="preserve">Mood → View mood history. Delete one entry.</t>
  </si>
  <si>
    <t xml:space="preserve">Week chart, summary and list shown; entry removed after confirming; XP and streak unchanged.</t>
  </si>
  <si>
    <t xml:space="preserve">ST-24</t>
  </si>
  <si>
    <t xml:space="preserve">After 3+ check-ins, open Mood history → Insights.</t>
  </si>
  <si>
    <t xml:space="preserve">Insights in plain words (patterns, never a diagnosis).</t>
  </si>
  <si>
    <t xml:space="preserve">ST-25</t>
  </si>
  <si>
    <t xml:space="preserve">Gamification</t>
  </si>
  <si>
    <t xml:space="preserve">FR 3, UC-03</t>
  </si>
  <si>
    <t xml:space="preserve">Check in, send a chat message and read an article on the same day.</t>
  </si>
  <si>
    <t xml:space="preserve">Home: today's quests ticked (3/3), XP and level bar updated.</t>
  </si>
  <si>
    <t xml:space="preserve">ST-26</t>
  </si>
  <si>
    <t xml:space="preserve">Read and mark 3 different articles.</t>
  </si>
  <si>
    <t xml:space="preserve">+5 XP each; Curious Mind badge pop-up on the third.</t>
  </si>
  <si>
    <t xml:space="preserve">ST-27</t>
  </si>
  <si>
    <t xml:space="preserve">Compare the XP and level on Home, Rewards and Profile.</t>
  </si>
  <si>
    <t xml:space="preserve">The same numbers everywhere.</t>
  </si>
  <si>
    <t xml:space="preserve">ST-28</t>
  </si>
  <si>
    <t xml:space="preserve">Rewards: look at the weekly quest after check-ins on different days.</t>
  </si>
  <si>
    <t xml:space="preserve">One bar per check-in day this week (Mon–Sun).</t>
  </si>
  <si>
    <t xml:space="preserve">ST-29</t>
  </si>
  <si>
    <t xml:space="preserve">Learn</t>
  </si>
  <si>
    <t xml:space="preserve">FR 4 (articles)</t>
  </si>
  <si>
    <t xml:space="preserve">Learn: filter by each topic, open an article, switch EN/SW.</t>
  </si>
  <si>
    <t xml:space="preserve">Only that topic shows; the article switches language.</t>
  </si>
  <si>
    <t xml:space="preserve">ST-30</t>
  </si>
  <si>
    <t xml:space="preserve">Support</t>
  </si>
  <si>
    <t xml:space="preserve">FR 5 (helplines)</t>
  </si>
  <si>
    <t xml:space="preserve">Support: start box breathing; do the 5-4-3-2-1 grounding.</t>
  </si>
  <si>
    <t xml:space="preserve">Circle grows and shrinks with a countdown; grounding steps can be ticked.</t>
  </si>
  <si>
    <t xml:space="preserve">ST-31</t>
  </si>
  <si>
    <t xml:space="preserve">Support → Call on a helpline.</t>
  </si>
  <si>
    <t xml:space="preserve">Dialer opens with the number filled in.</t>
  </si>
  <si>
    <t xml:space="preserve">ST-32</t>
  </si>
  <si>
    <t xml:space="preserve">Offline</t>
  </si>
  <si>
    <t xml:space="preserve">Step 10</t>
  </si>
  <si>
    <t xml:space="preserve">Use the app online, close it, turn on aeroplane mode, open it.</t>
  </si>
  <si>
    <t xml:space="preserve">App opens; banner "You're offline. Showing what was saved at …"; Home, history, articles visible.</t>
  </si>
  <si>
    <t xml:space="preserve">ST-33</t>
  </si>
  <si>
    <t xml:space="preserve">Offline: log a mood. Then turn aeroplane mode off and tap Retry.</t>
  </si>
  <si>
    <t xml:space="preserve">"Saved on your phone"; history shows "waiting to sync"; after Retry it syncs and XP/streak update.</t>
  </si>
  <si>
    <t xml:space="preserve">ST-34</t>
  </si>
  <si>
    <t xml:space="preserve">Step 10, FR 5</t>
  </si>
  <si>
    <t xml:space="preserve">Offline: chat "I want to end it all".</t>
  </si>
  <si>
    <t xml:space="preserve">Crisis sheet with helplines still opens.</t>
  </si>
  <si>
    <t xml:space="preserve">ST-35</t>
  </si>
  <si>
    <t xml:space="preserve">Offline: chat "hello".</t>
  </si>
  <si>
    <t xml:space="preserve">Message says Chipu needs the internet; no crash.</t>
  </si>
  <si>
    <t xml:space="preserve">ST-36</t>
  </si>
  <si>
    <t xml:space="preserve">Reminders</t>
  </si>
  <si>
    <t xml:space="preserve">Profile → Daily reminder on (allow notifications) → Send a test reminder → tap it.</t>
  </si>
  <si>
    <t xml:space="preserve">Notification "MindQuest" appears; tapping opens the mood check-in.</t>
  </si>
  <si>
    <t xml:space="preserve">ST-37</t>
  </si>
  <si>
    <t xml:space="preserve">Set the reminder time 3 minutes ahead on a day without a check-in; close the app.</t>
  </si>
  <si>
    <t xml:space="preserve">Reminder arrives (Android may delay a few minutes).</t>
  </si>
  <si>
    <t xml:space="preserve">ST-38</t>
  </si>
  <si>
    <t xml:space="preserve">Usability</t>
  </si>
  <si>
    <t xml:space="preserve">NFR usability</t>
  </si>
  <si>
    <t xml:space="preserve">Turn on Dark mode; visit every tab.</t>
  </si>
  <si>
    <t xml:space="preserve">All text readable; nothing white-on-white.</t>
  </si>
  <si>
    <t xml:space="preserve">ST-39</t>
  </si>
  <si>
    <t xml:space="preserve">Phone settings → largest font size; open Home, Chat, Mood, Rewards.</t>
  </si>
  <si>
    <t xml:space="preserve">No text cut off or overlapping.</t>
  </si>
  <si>
    <t xml:space="preserve">ST-40</t>
  </si>
  <si>
    <t xml:space="preserve">NFR accessibility</t>
  </si>
  <si>
    <t xml:space="preserve">Turn on TalkBack; move through Home and the mood faces.</t>
  </si>
  <si>
    <t xml:space="preserve">Buttons and faces are read out with sensible names.</t>
  </si>
  <si>
    <t xml:space="preserve">ST-41</t>
  </si>
  <si>
    <t xml:space="preserve">Admin dashboard</t>
  </si>
  <si>
    <t xml:space="preserve">FR 7, UC-06</t>
  </si>
  <si>
    <t xml:space="preserve">Open the admin dashboard; sign in with an admin account, then with a student account.</t>
  </si>
  <si>
    <t xml:space="preserve">Admin sees Overview, Articles, Helplines, Team; student sees "No access".</t>
  </si>
  <si>
    <t xml:space="preserve">ST-42</t>
  </si>
  <si>
    <t xml:space="preserve">After the tests above, open Overview (7 days).</t>
  </si>
  <si>
    <t xml:space="preserve">Counts went up (check-ins, chats, articles); averages from under 5 check-ins show "–".</t>
  </si>
  <si>
    <t xml:space="preserve">ST-43</t>
  </si>
  <si>
    <t xml:space="preserve">Articles: hide an article, then check the app's Learn tab; publish it again.</t>
  </si>
  <si>
    <t xml:space="preserve">Hidden article disappears from Learn (pull to refresh); comes back after publishing.</t>
  </si>
  <si>
    <t xml:space="preserve">ST-44</t>
  </si>
  <si>
    <t xml:space="preserve">Helplines: mark one verified, then open Support in the app.</t>
  </si>
  <si>
    <t xml:space="preserve">The helpline now appears in the app.</t>
  </si>
  <si>
    <t xml:space="preserve">ST-45</t>
  </si>
  <si>
    <t xml:space="preserve">Team: give a second account Counsellor access; sign in with it.</t>
  </si>
  <si>
    <t xml:space="preserve">Counsellor sees only the Overview.</t>
  </si>
  <si>
    <t xml:space="preserve">ST-46</t>
  </si>
  <si>
    <t xml:space="preserve">Security</t>
  </si>
  <si>
    <t xml:space="preserve">NFR security</t>
  </si>
  <si>
    <t xml:space="preserve">Two phones with two accounts. Log a mood with a note on phone A; open history on phone B.</t>
  </si>
  <si>
    <t xml:space="preserve">Phone B never shows A's check-ins or notes.</t>
  </si>
  <si>
    <t xml:space="preserve">ST-47</t>
  </si>
  <si>
    <t xml:space="preserve">Close the app fully, then open it and time until Home shows.</t>
  </si>
  <si>
    <t xml:space="preserve">Within 5 seconds on the test phone.</t>
  </si>
  <si>
    <t xml:space="preserve">ST-48</t>
  </si>
  <si>
    <t xml:space="preserve">Compatibility</t>
  </si>
  <si>
    <t xml:space="preserve">NFR portability</t>
  </si>
  <si>
    <t xml:space="preserve">Install the release APK on a second Android phone (different brand/version).</t>
  </si>
  <si>
    <t xml:space="preserve">Installs and runs ST-01, ST-11, ST-21 without problems.</t>
  </si>
  <si>
    <t xml:space="preserve">System test summary</t>
  </si>
  <si>
    <t xml:space="preserve">Tests</t>
  </si>
  <si>
    <t xml:space="preserve">Pass</t>
  </si>
  <si>
    <t xml:space="preserve">Fail</t>
  </si>
  <si>
    <t xml:space="preserve">Blocked</t>
  </si>
  <si>
    <t xml:space="preserve">Total</t>
  </si>
  <si>
    <t xml:space="preserve">Pass rate (of tests run)</t>
  </si>
  <si>
    <t xml:space="preserve">Pass rate</t>
  </si>
  <si>
    <t xml:space="preserve">UAT tasks: how many participants managed each task (from the Google Form task grid)</t>
  </si>
  <si>
    <t xml:space="preserve">Task</t>
  </si>
  <si>
    <t xml:space="preserve">What the participant does</t>
  </si>
  <si>
    <t xml:space="preserve">Done when</t>
  </si>
  <si>
    <t xml:space="preserve">Done easily</t>
  </si>
  <si>
    <t xml:space="preserve">Done with some difficulty</t>
  </si>
  <si>
    <t xml:space="preserve">Couldn't do it</t>
  </si>
  <si>
    <t xml:space="preserve">Didn't try</t>
  </si>
  <si>
    <t xml:space="preserve">Answers</t>
  </si>
  <si>
    <t xml:space="preserve">Completion rate</t>
  </si>
  <si>
    <t xml:space="preserve">Done easily (%)</t>
  </si>
  <si>
    <t xml:space="preserve">T1</t>
  </si>
  <si>
    <t xml:space="preserve">Install MindQuest from the link, start it and choose your language.</t>
  </si>
  <si>
    <t xml:space="preserve">Reaches Home.</t>
  </si>
  <si>
    <t xml:space="preserve">T2</t>
  </si>
  <si>
    <t xml:space="preserve">Check in your mood and add what it is about (a tag).</t>
  </si>
  <si>
    <t xml:space="preserve">Sees the summary from Chipu.</t>
  </si>
  <si>
    <t xml:space="preserve">T3</t>
  </si>
  <si>
    <t xml:space="preserve">Chat with Chipu about how your week is going, and ask for a breathing exercise.</t>
  </si>
  <si>
    <t xml:space="preserve">Gets a fitting reply and the breathing steps.</t>
  </si>
  <si>
    <t xml:space="preserve">T4</t>
  </si>
  <si>
    <t xml:space="preserve">Find an article that interests you, read it and mark it as read.</t>
  </si>
  <si>
    <t xml:space="preserve">Gets +5 XP.</t>
  </si>
  <si>
    <t xml:space="preserve">T5</t>
  </si>
  <si>
    <t xml:space="preserve">Find your level, your badges and your weekly quest.</t>
  </si>
  <si>
    <t xml:space="preserve">Opens Rewards (or Profile).</t>
  </si>
  <si>
    <t xml:space="preserve">T6</t>
  </si>
  <si>
    <t xml:space="preserve">Find where to get help quickly if things feel too heavy.</t>
  </si>
  <si>
    <t xml:space="preserve">Opens Support / helplines.</t>
  </si>
  <si>
    <t xml:space="preserve">T7</t>
  </si>
  <si>
    <t xml:space="preserve">Switch the app to the other language, then back.</t>
  </si>
  <si>
    <t xml:space="preserve">All screens change language.</t>
  </si>
  <si>
    <t xml:space="preserve">T8</t>
  </si>
  <si>
    <t xml:space="preserve">Turn on the daily reminder.</t>
  </si>
  <si>
    <t xml:space="preserve">Reminder is on in Profile.</t>
  </si>
  <si>
    <t xml:space="preserve">Completion rate = done (easily or with difficulty) ÷ participants who tried. A common target is 78% or more per task.</t>
  </si>
  <si>
    <t xml:space="preserve">System Usability Scale (SUS): one row per participant, answers 1–5</t>
  </si>
  <si>
    <t xml:space="preserve">Participant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</si>
  <si>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</si>
  <si>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</si>
  <si>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</si>
  <si>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</si>
  <si>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</si>
  <si>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</si>
  <si>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</si>
  <si>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</si>
  <si>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</si>
  <si>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</si>
  <si>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SUS score</t>
  </si>
  <si>
    <t xml:space="preserve">Results</t>
  </si>
  <si>
    <t xml:space="preserve">Example</t>
  </si>
  <si>
    <t xml:space="preserve">Participants</t>
  </si>
  <si>
    <t xml:space="preserve">P01</t>
  </si>
  <si>
    <t xml:space="preserve">Mean SUS</t>
  </si>
  <si>
    <t xml:space="preserve">P02</t>
  </si>
  <si>
    <t xml:space="preserve">Median</t>
  </si>
  <si>
    <t xml:space="preserve">P03</t>
  </si>
  <si>
    <t xml:space="preserve">Standard deviation</t>
  </si>
  <si>
    <t xml:space="preserve">P04</t>
  </si>
  <si>
    <t xml:space="preserve">Lowest</t>
  </si>
  <si>
    <t xml:space="preserve">P05</t>
  </si>
  <si>
    <t xml:space="preserve">Highest</t>
  </si>
  <si>
    <t xml:space="preserve">P06</t>
  </si>
  <si>
    <t xml:space="preserve">Above the average of 68?</t>
  </si>
  <si>
    <t xml:space="preserve">P07</t>
  </si>
  <si>
    <t xml:space="preserve">P08</t>
  </si>
  <si>
    <t xml:space="preserve">Questions</t>
  </si>
  <si>
    <t xml:space="preserve">P09</t>
  </si>
  <si>
    <t xml:space="preserve">Q1. I think that I would like to use MindQuest frequently.</t>
  </si>
  <si>
    <t xml:space="preserve">P10</t>
  </si>
  <si>
    <t xml:space="preserve">Q2. I found MindQuest unnecessarily complex.</t>
  </si>
  <si>
    <t xml:space="preserve">P11</t>
  </si>
  <si>
    <t xml:space="preserve">Q3. I thought MindQuest was easy to use.</t>
  </si>
  <si>
    <t xml:space="preserve">P12</t>
  </si>
  <si>
    <t xml:space="preserve">Q4. I think that I would need the support of a technical person to be able to use MindQuest.</t>
  </si>
  <si>
    <t xml:space="preserve">P13</t>
  </si>
  <si>
    <t xml:space="preserve">Q5. I found the various functions in MindQuest were well integrated.</t>
  </si>
  <si>
    <t xml:space="preserve">P14</t>
  </si>
  <si>
    <t xml:space="preserve">Q6. I thought there was too much inconsistency in MindQuest.</t>
  </si>
  <si>
    <t xml:space="preserve">P15</t>
  </si>
  <si>
    <t xml:space="preserve">Q7. I would imagine that most people would learn to use MindQuest very quickly.</t>
  </si>
  <si>
    <t xml:space="preserve">P16</t>
  </si>
  <si>
    <t xml:space="preserve">Q8. I found MindQuest very cumbersome to use.</t>
  </si>
  <si>
    <t xml:space="preserve">P17</t>
  </si>
  <si>
    <t xml:space="preserve">Q9. I felt very confident using MindQuest.</t>
  </si>
  <si>
    <t xml:space="preserve">P18</t>
  </si>
  <si>
    <t xml:space="preserve">Q10. I needed to learn a lot of things before I could get going with MindQuest.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</si>
  <si>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</si>
  <si>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</si>
  <si>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</si>
  <si>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</si>
  <si>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</si>
  <si>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</si>
  <si>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</si>
  <si>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</si>
  <si>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</si>
  <si>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</si>
  <si>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</si>
  <si>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</si>
  <si>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MindQuest statements: how many chose each answer (1 = strongly disagree … 5 = strongly agree)</t>
  </si>
  <si>
    <t xml:space="preserve">#</t>
  </si>
  <si>
    <t xml:space="preserve">Statement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</si>
  <si>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</si>
  <si>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</si>
  <si>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</si>
  <si>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</si>
  <si>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</si>
  <si>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Agree (4–5)</t>
  </si>
  <si>
    <t xml:space="preserve">Mean</t>
  </si>
  <si>
    <t xml:space="preserve">L1</t>
  </si>
  <si>
    <t xml:space="preserve">Chipu understood what I wrote.</t>
  </si>
  <si>
    <t xml:space="preserve">L2</t>
  </si>
  <si>
    <t xml:space="preserve">Chipu's replies felt kind and supportive.</t>
  </si>
  <si>
    <t xml:space="preserve">L3</t>
  </si>
  <si>
    <t xml:space="preserve">Chatting in Kiswahili or Sheng worked well.</t>
  </si>
  <si>
    <t xml:space="preserve">L4</t>
  </si>
  <si>
    <t xml:space="preserve">Earning XP, levels and badges made me want to come back.</t>
  </si>
  <si>
    <t xml:space="preserve">L5</t>
  </si>
  <si>
    <t xml:space="preserve">The daily quests and streak encouraged me to check in.</t>
  </si>
  <si>
    <t xml:space="preserve">L6</t>
  </si>
  <si>
    <t xml:space="preserve">Chipu's mood insights helped me notice something about my moods.</t>
  </si>
  <si>
    <t xml:space="preserve">L7</t>
  </si>
  <si>
    <t xml:space="preserve">The articles were useful to me.</t>
  </si>
  <si>
    <t xml:space="preserve">L8</t>
  </si>
  <si>
    <t xml:space="preserve">I know where in the app to find help in a crisis.</t>
  </si>
  <si>
    <t xml:space="preserve">L9</t>
  </si>
  <si>
    <t xml:space="preserve">I trust MindQuest to keep my information private.</t>
  </si>
  <si>
    <t xml:space="preserve">L10</t>
  </si>
  <si>
    <t xml:space="preserve">I would recommend MindQuest to a friend.</t>
  </si>
  <si>
    <t xml:space="preserve">"Not applicable" answers (e.g. L3 for people who only used English) are left out.</t>
  </si>
  <si>
    <t xml:space="preserve">Bug</t>
  </si>
  <si>
    <t xml:space="preserve">Found in (test or participant)</t>
  </si>
  <si>
    <t xml:space="preserve">What happened</t>
  </si>
  <si>
    <t xml:space="preserve">Steps to repeat</t>
  </si>
  <si>
    <t xml:space="preserve">Severity</t>
  </si>
  <si>
    <t xml:space="preserve">Status</t>
  </si>
  <si>
    <t xml:space="preserve">Fixed in (commit)</t>
  </si>
  <si>
    <t xml:space="preserve">Level pill cut off with the largest font</t>
  </si>
  <si>
    <t xml:space="preserve">Settings → font size max → Home</t>
  </si>
  <si>
    <t xml:space="preserve">Minor</t>
  </si>
  <si>
    <t xml:space="preserve">Fixed</t>
  </si>
  <si>
    <t xml:space="preserve">e60da74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</si>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</sst>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"/>
    <numFmt numFmtId="168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7A5D"/>
        <bgColor rgb="FF008080"/>
      </patternFill>
    </fill>
    <fill>
      <patternFill patternType="solid">
        <fgColor rgb="FFFFF6B6"/>
        <bgColor rgb="FFFFEB9C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7A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B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B6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F7A5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6.8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26.85" hidden="false" customHeight="false" outlineLevel="0" collapsed="false">
      <c r="A13" s="2" t="s">
        <v>10</v>
      </c>
    </row>
    <row r="14" customFormat="false" ht="26.8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customFormat="false" ht="39.55" hidden="false" customHeight="false" outlineLevel="0" collapsed="false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 t="s">
        <v>27</v>
      </c>
      <c r="G2" s="7"/>
      <c r="H2" s="7"/>
      <c r="I2" s="7"/>
    </row>
    <row r="3" customFormat="false" ht="26.85" hidden="false" customHeight="false" outlineLevel="0" collapsed="false">
      <c r="A3" s="5" t="s">
        <v>28</v>
      </c>
      <c r="B3" s="6" t="s">
        <v>23</v>
      </c>
      <c r="C3" s="6" t="s">
        <v>24</v>
      </c>
      <c r="D3" s="6" t="s">
        <v>29</v>
      </c>
      <c r="E3" s="6" t="s">
        <v>30</v>
      </c>
      <c r="F3" s="7" t="s">
        <v>27</v>
      </c>
      <c r="G3" s="7"/>
      <c r="H3" s="7"/>
      <c r="I3" s="7"/>
    </row>
    <row r="4" customFormat="false" ht="26.85" hidden="false" customHeight="false" outlineLevel="0" collapsed="false">
      <c r="A4" s="5" t="s">
        <v>31</v>
      </c>
      <c r="B4" s="6" t="s">
        <v>23</v>
      </c>
      <c r="C4" s="6" t="s">
        <v>24</v>
      </c>
      <c r="D4" s="6" t="s">
        <v>32</v>
      </c>
      <c r="E4" s="6" t="s">
        <v>33</v>
      </c>
      <c r="F4" s="7" t="s">
        <v>27</v>
      </c>
      <c r="G4" s="7"/>
      <c r="H4" s="7"/>
      <c r="I4" s="7"/>
    </row>
    <row r="5" customFormat="false" ht="26.85" hidden="false" customHeight="false" outlineLevel="0" collapsed="false">
      <c r="A5" s="5" t="s">
        <v>34</v>
      </c>
      <c r="B5" s="6" t="s">
        <v>23</v>
      </c>
      <c r="C5" s="6" t="s">
        <v>24</v>
      </c>
      <c r="D5" s="6" t="s">
        <v>35</v>
      </c>
      <c r="E5" s="6" t="s">
        <v>36</v>
      </c>
      <c r="F5" s="7" t="s">
        <v>27</v>
      </c>
      <c r="G5" s="7"/>
      <c r="H5" s="7"/>
      <c r="I5" s="7"/>
    </row>
    <row r="6" customFormat="false" ht="26.85" hidden="false" customHeight="false" outlineLevel="0" collapsed="false">
      <c r="A6" s="5" t="s">
        <v>37</v>
      </c>
      <c r="B6" s="6" t="s">
        <v>23</v>
      </c>
      <c r="C6" s="6" t="s">
        <v>24</v>
      </c>
      <c r="D6" s="6" t="s">
        <v>38</v>
      </c>
      <c r="E6" s="6" t="s">
        <v>39</v>
      </c>
      <c r="F6" s="7" t="s">
        <v>27</v>
      </c>
      <c r="G6" s="7"/>
      <c r="H6" s="7"/>
      <c r="I6" s="7"/>
    </row>
    <row r="7" customFormat="false" ht="26.85" hidden="false" customHeight="false" outlineLevel="0" collapsed="false">
      <c r="A7" s="5" t="s">
        <v>40</v>
      </c>
      <c r="B7" s="6" t="s">
        <v>23</v>
      </c>
      <c r="C7" s="6" t="s">
        <v>24</v>
      </c>
      <c r="D7" s="6" t="s">
        <v>41</v>
      </c>
      <c r="E7" s="6" t="s">
        <v>42</v>
      </c>
      <c r="F7" s="7" t="s">
        <v>27</v>
      </c>
      <c r="G7" s="7"/>
      <c r="H7" s="7"/>
      <c r="I7" s="7"/>
    </row>
    <row r="8" customFormat="false" ht="26.85" hidden="false" customHeight="false" outlineLevel="0" collapsed="false">
      <c r="A8" s="5" t="s">
        <v>43</v>
      </c>
      <c r="B8" s="6" t="s">
        <v>23</v>
      </c>
      <c r="C8" s="6" t="s">
        <v>24</v>
      </c>
      <c r="D8" s="6" t="s">
        <v>44</v>
      </c>
      <c r="E8" s="6" t="s">
        <v>45</v>
      </c>
      <c r="F8" s="7" t="s">
        <v>27</v>
      </c>
      <c r="G8" s="7"/>
      <c r="H8" s="7"/>
      <c r="I8" s="7"/>
    </row>
    <row r="9" customFormat="false" ht="39.55" hidden="false" customHeight="false" outlineLevel="0" collapsed="false">
      <c r="A9" s="5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7" t="s">
        <v>27</v>
      </c>
      <c r="G9" s="7"/>
      <c r="H9" s="7"/>
      <c r="I9" s="7"/>
    </row>
    <row r="10" customFormat="false" ht="26.85" hidden="false" customHeight="false" outlineLevel="0" collapsed="false">
      <c r="A10" s="5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7" t="s">
        <v>27</v>
      </c>
      <c r="G10" s="7"/>
      <c r="H10" s="7"/>
      <c r="I10" s="7"/>
    </row>
    <row r="11" customFormat="false" ht="15" hidden="false" customHeight="false" outlineLevel="0" collapsed="false">
      <c r="A11" s="5" t="s">
        <v>56</v>
      </c>
      <c r="B11" s="6" t="s">
        <v>57</v>
      </c>
      <c r="C11" s="6" t="s">
        <v>58</v>
      </c>
      <c r="D11" s="6" t="s">
        <v>59</v>
      </c>
      <c r="E11" s="6" t="s">
        <v>60</v>
      </c>
      <c r="F11" s="7" t="s">
        <v>27</v>
      </c>
      <c r="G11" s="7"/>
      <c r="H11" s="7"/>
      <c r="I11" s="7"/>
    </row>
    <row r="12" customFormat="false" ht="26.85" hidden="false" customHeight="false" outlineLevel="0" collapsed="false">
      <c r="A12" s="5" t="s">
        <v>61</v>
      </c>
      <c r="B12" s="6" t="s">
        <v>57</v>
      </c>
      <c r="C12" s="6" t="s">
        <v>58</v>
      </c>
      <c r="D12" s="6" t="s">
        <v>62</v>
      </c>
      <c r="E12" s="6" t="s">
        <v>63</v>
      </c>
      <c r="F12" s="7" t="s">
        <v>27</v>
      </c>
      <c r="G12" s="7"/>
      <c r="H12" s="7"/>
      <c r="I12" s="7"/>
    </row>
    <row r="13" customFormat="false" ht="26.85" hidden="false" customHeight="false" outlineLevel="0" collapsed="false">
      <c r="A13" s="5" t="s">
        <v>64</v>
      </c>
      <c r="B13" s="6" t="s">
        <v>57</v>
      </c>
      <c r="C13" s="6" t="s">
        <v>58</v>
      </c>
      <c r="D13" s="6" t="s">
        <v>65</v>
      </c>
      <c r="E13" s="6" t="s">
        <v>66</v>
      </c>
      <c r="F13" s="7" t="s">
        <v>27</v>
      </c>
      <c r="G13" s="7"/>
      <c r="H13" s="7"/>
      <c r="I13" s="7"/>
    </row>
    <row r="14" customFormat="false" ht="15" hidden="false" customHeight="false" outlineLevel="0" collapsed="false">
      <c r="A14" s="5" t="s">
        <v>67</v>
      </c>
      <c r="B14" s="6" t="s">
        <v>57</v>
      </c>
      <c r="C14" s="6" t="s">
        <v>58</v>
      </c>
      <c r="D14" s="6" t="s">
        <v>68</v>
      </c>
      <c r="E14" s="6" t="s">
        <v>69</v>
      </c>
      <c r="F14" s="7" t="s">
        <v>27</v>
      </c>
      <c r="G14" s="7"/>
      <c r="H14" s="7"/>
      <c r="I14" s="7"/>
    </row>
    <row r="15" customFormat="false" ht="26.85" hidden="false" customHeight="false" outlineLevel="0" collapsed="false">
      <c r="A15" s="5" t="s">
        <v>70</v>
      </c>
      <c r="B15" s="6" t="s">
        <v>57</v>
      </c>
      <c r="C15" s="6" t="s">
        <v>58</v>
      </c>
      <c r="D15" s="6" t="s">
        <v>71</v>
      </c>
      <c r="E15" s="6" t="s">
        <v>72</v>
      </c>
      <c r="F15" s="7" t="s">
        <v>27</v>
      </c>
      <c r="G15" s="7"/>
      <c r="H15" s="7"/>
      <c r="I15" s="7"/>
    </row>
    <row r="16" customFormat="false" ht="39.55" hidden="false" customHeight="false" outlineLevel="0" collapsed="false">
      <c r="A16" s="5" t="s">
        <v>73</v>
      </c>
      <c r="B16" s="6" t="s">
        <v>74</v>
      </c>
      <c r="C16" s="6" t="s">
        <v>75</v>
      </c>
      <c r="D16" s="6" t="s">
        <v>76</v>
      </c>
      <c r="E16" s="6" t="s">
        <v>77</v>
      </c>
      <c r="F16" s="7" t="s">
        <v>27</v>
      </c>
      <c r="G16" s="7"/>
      <c r="H16" s="7"/>
      <c r="I16" s="7"/>
    </row>
    <row r="17" customFormat="false" ht="26.85" hidden="false" customHeight="false" outlineLevel="0" collapsed="false">
      <c r="A17" s="5" t="s">
        <v>78</v>
      </c>
      <c r="B17" s="6" t="s">
        <v>74</v>
      </c>
      <c r="C17" s="6" t="s">
        <v>75</v>
      </c>
      <c r="D17" s="6" t="s">
        <v>79</v>
      </c>
      <c r="E17" s="6" t="s">
        <v>80</v>
      </c>
      <c r="F17" s="7" t="s">
        <v>27</v>
      </c>
      <c r="G17" s="7"/>
      <c r="H17" s="7"/>
      <c r="I17" s="7"/>
    </row>
    <row r="18" customFormat="false" ht="15" hidden="false" customHeight="false" outlineLevel="0" collapsed="false">
      <c r="A18" s="5" t="s">
        <v>81</v>
      </c>
      <c r="B18" s="6" t="s">
        <v>57</v>
      </c>
      <c r="C18" s="6" t="s">
        <v>58</v>
      </c>
      <c r="D18" s="6" t="s">
        <v>82</v>
      </c>
      <c r="E18" s="6" t="s">
        <v>83</v>
      </c>
      <c r="F18" s="7" t="s">
        <v>27</v>
      </c>
      <c r="G18" s="7"/>
      <c r="H18" s="7"/>
      <c r="I18" s="7"/>
    </row>
    <row r="19" customFormat="false" ht="26.85" hidden="false" customHeight="false" outlineLevel="0" collapsed="false">
      <c r="A19" s="5" t="s">
        <v>84</v>
      </c>
      <c r="B19" s="6" t="s">
        <v>57</v>
      </c>
      <c r="C19" s="6" t="s">
        <v>85</v>
      </c>
      <c r="D19" s="6" t="s">
        <v>86</v>
      </c>
      <c r="E19" s="6" t="s">
        <v>87</v>
      </c>
      <c r="F19" s="7" t="s">
        <v>27</v>
      </c>
      <c r="G19" s="7"/>
      <c r="H19" s="7"/>
      <c r="I19" s="7"/>
    </row>
    <row r="20" customFormat="false" ht="26.85" hidden="false" customHeight="false" outlineLevel="0" collapsed="false">
      <c r="A20" s="5" t="s">
        <v>88</v>
      </c>
      <c r="B20" s="6" t="s">
        <v>57</v>
      </c>
      <c r="C20" s="6" t="s">
        <v>58</v>
      </c>
      <c r="D20" s="6" t="s">
        <v>89</v>
      </c>
      <c r="E20" s="6" t="s">
        <v>90</v>
      </c>
      <c r="F20" s="7" t="s">
        <v>27</v>
      </c>
      <c r="G20" s="7"/>
      <c r="H20" s="7"/>
      <c r="I20" s="7"/>
    </row>
    <row r="21" customFormat="false" ht="26.85" hidden="false" customHeight="false" outlineLevel="0" collapsed="false">
      <c r="A21" s="5" t="s">
        <v>91</v>
      </c>
      <c r="B21" s="6" t="s">
        <v>92</v>
      </c>
      <c r="C21" s="6" t="s">
        <v>93</v>
      </c>
      <c r="D21" s="6" t="s">
        <v>94</v>
      </c>
      <c r="E21" s="6" t="s">
        <v>95</v>
      </c>
      <c r="F21" s="7" t="s">
        <v>27</v>
      </c>
      <c r="G21" s="7"/>
      <c r="H21" s="7"/>
      <c r="I21" s="7"/>
    </row>
    <row r="22" customFormat="false" ht="26.85" hidden="false" customHeight="false" outlineLevel="0" collapsed="false">
      <c r="A22" s="5" t="s">
        <v>96</v>
      </c>
      <c r="B22" s="6" t="s">
        <v>97</v>
      </c>
      <c r="C22" s="6" t="s">
        <v>98</v>
      </c>
      <c r="D22" s="6" t="s">
        <v>99</v>
      </c>
      <c r="E22" s="6" t="s">
        <v>100</v>
      </c>
      <c r="F22" s="7" t="s">
        <v>27</v>
      </c>
      <c r="G22" s="7"/>
      <c r="H22" s="7"/>
      <c r="I22" s="7"/>
    </row>
    <row r="23" customFormat="false" ht="26.85" hidden="false" customHeight="false" outlineLevel="0" collapsed="false">
      <c r="A23" s="5" t="s">
        <v>101</v>
      </c>
      <c r="B23" s="6" t="s">
        <v>97</v>
      </c>
      <c r="C23" s="6" t="s">
        <v>98</v>
      </c>
      <c r="D23" s="6" t="s">
        <v>102</v>
      </c>
      <c r="E23" s="6" t="s">
        <v>103</v>
      </c>
      <c r="F23" s="7" t="s">
        <v>27</v>
      </c>
      <c r="G23" s="7"/>
      <c r="H23" s="7"/>
      <c r="I23" s="7"/>
    </row>
    <row r="24" customFormat="false" ht="39.55" hidden="false" customHeight="false" outlineLevel="0" collapsed="false">
      <c r="A24" s="5" t="s">
        <v>104</v>
      </c>
      <c r="B24" s="6" t="s">
        <v>97</v>
      </c>
      <c r="C24" s="6" t="s">
        <v>98</v>
      </c>
      <c r="D24" s="6" t="s">
        <v>105</v>
      </c>
      <c r="E24" s="6" t="s">
        <v>106</v>
      </c>
      <c r="F24" s="7" t="s">
        <v>27</v>
      </c>
      <c r="G24" s="7"/>
      <c r="H24" s="7"/>
      <c r="I24" s="7"/>
    </row>
    <row r="25" customFormat="false" ht="26.85" hidden="false" customHeight="false" outlineLevel="0" collapsed="false">
      <c r="A25" s="5" t="s">
        <v>107</v>
      </c>
      <c r="B25" s="6" t="s">
        <v>97</v>
      </c>
      <c r="C25" s="6" t="s">
        <v>98</v>
      </c>
      <c r="D25" s="6" t="s">
        <v>108</v>
      </c>
      <c r="E25" s="6" t="s">
        <v>109</v>
      </c>
      <c r="F25" s="7" t="s">
        <v>27</v>
      </c>
      <c r="G25" s="7"/>
      <c r="H25" s="7"/>
      <c r="I25" s="7"/>
    </row>
    <row r="26" customFormat="false" ht="26.85" hidden="false" customHeight="false" outlineLevel="0" collapsed="false">
      <c r="A26" s="5" t="s">
        <v>110</v>
      </c>
      <c r="B26" s="6" t="s">
        <v>111</v>
      </c>
      <c r="C26" s="6" t="s">
        <v>112</v>
      </c>
      <c r="D26" s="6" t="s">
        <v>113</v>
      </c>
      <c r="E26" s="6" t="s">
        <v>114</v>
      </c>
      <c r="F26" s="7" t="s">
        <v>27</v>
      </c>
      <c r="G26" s="7"/>
      <c r="H26" s="7"/>
      <c r="I26" s="7"/>
    </row>
    <row r="27" customFormat="false" ht="26.85" hidden="false" customHeight="false" outlineLevel="0" collapsed="false">
      <c r="A27" s="5" t="s">
        <v>115</v>
      </c>
      <c r="B27" s="6" t="s">
        <v>111</v>
      </c>
      <c r="C27" s="6" t="s">
        <v>112</v>
      </c>
      <c r="D27" s="6" t="s">
        <v>116</v>
      </c>
      <c r="E27" s="6" t="s">
        <v>117</v>
      </c>
      <c r="F27" s="7" t="s">
        <v>27</v>
      </c>
      <c r="G27" s="7"/>
      <c r="H27" s="7"/>
      <c r="I27" s="7"/>
    </row>
    <row r="28" customFormat="false" ht="26.85" hidden="false" customHeight="false" outlineLevel="0" collapsed="false">
      <c r="A28" s="5" t="s">
        <v>118</v>
      </c>
      <c r="B28" s="6" t="s">
        <v>111</v>
      </c>
      <c r="C28" s="6" t="s">
        <v>112</v>
      </c>
      <c r="D28" s="6" t="s">
        <v>119</v>
      </c>
      <c r="E28" s="6" t="s">
        <v>120</v>
      </c>
      <c r="F28" s="7" t="s">
        <v>27</v>
      </c>
      <c r="G28" s="7"/>
      <c r="H28" s="7"/>
      <c r="I28" s="7"/>
    </row>
    <row r="29" customFormat="false" ht="26.85" hidden="false" customHeight="false" outlineLevel="0" collapsed="false">
      <c r="A29" s="5" t="s">
        <v>121</v>
      </c>
      <c r="B29" s="6" t="s">
        <v>111</v>
      </c>
      <c r="C29" s="6" t="s">
        <v>112</v>
      </c>
      <c r="D29" s="6" t="s">
        <v>122</v>
      </c>
      <c r="E29" s="6" t="s">
        <v>123</v>
      </c>
      <c r="F29" s="7" t="s">
        <v>27</v>
      </c>
      <c r="G29" s="7"/>
      <c r="H29" s="7"/>
      <c r="I29" s="7"/>
    </row>
    <row r="30" customFormat="false" ht="26.85" hidden="false" customHeight="false" outlineLevel="0" collapsed="false">
      <c r="A30" s="5" t="s">
        <v>124</v>
      </c>
      <c r="B30" s="6" t="s">
        <v>125</v>
      </c>
      <c r="C30" s="6" t="s">
        <v>126</v>
      </c>
      <c r="D30" s="6" t="s">
        <v>127</v>
      </c>
      <c r="E30" s="6" t="s">
        <v>128</v>
      </c>
      <c r="F30" s="7" t="s">
        <v>27</v>
      </c>
      <c r="G30" s="7"/>
      <c r="H30" s="7"/>
      <c r="I30" s="7"/>
    </row>
    <row r="31" customFormat="false" ht="26.85" hidden="false" customHeight="false" outlineLevel="0" collapsed="false">
      <c r="A31" s="5" t="s">
        <v>129</v>
      </c>
      <c r="B31" s="6" t="s">
        <v>130</v>
      </c>
      <c r="C31" s="6" t="s">
        <v>131</v>
      </c>
      <c r="D31" s="6" t="s">
        <v>132</v>
      </c>
      <c r="E31" s="6" t="s">
        <v>133</v>
      </c>
      <c r="F31" s="7" t="s">
        <v>27</v>
      </c>
      <c r="G31" s="7"/>
      <c r="H31" s="7"/>
      <c r="I31" s="7"/>
    </row>
    <row r="32" customFormat="false" ht="15" hidden="false" customHeight="false" outlineLevel="0" collapsed="false">
      <c r="A32" s="5" t="s">
        <v>134</v>
      </c>
      <c r="B32" s="6" t="s">
        <v>130</v>
      </c>
      <c r="C32" s="6" t="s">
        <v>131</v>
      </c>
      <c r="D32" s="6" t="s">
        <v>135</v>
      </c>
      <c r="E32" s="6" t="s">
        <v>136</v>
      </c>
      <c r="F32" s="7" t="s">
        <v>27</v>
      </c>
      <c r="G32" s="7"/>
      <c r="H32" s="7"/>
      <c r="I32" s="7"/>
    </row>
    <row r="33" customFormat="false" ht="39.55" hidden="false" customHeight="false" outlineLevel="0" collapsed="false">
      <c r="A33" s="5" t="s">
        <v>137</v>
      </c>
      <c r="B33" s="6" t="s">
        <v>138</v>
      </c>
      <c r="C33" s="6" t="s">
        <v>139</v>
      </c>
      <c r="D33" s="6" t="s">
        <v>140</v>
      </c>
      <c r="E33" s="6" t="s">
        <v>141</v>
      </c>
      <c r="F33" s="7" t="s">
        <v>27</v>
      </c>
      <c r="G33" s="7"/>
      <c r="H33" s="7"/>
      <c r="I33" s="7"/>
    </row>
    <row r="34" customFormat="false" ht="39.55" hidden="false" customHeight="false" outlineLevel="0" collapsed="false">
      <c r="A34" s="5" t="s">
        <v>142</v>
      </c>
      <c r="B34" s="6" t="s">
        <v>138</v>
      </c>
      <c r="C34" s="6" t="s">
        <v>139</v>
      </c>
      <c r="D34" s="6" t="s">
        <v>143</v>
      </c>
      <c r="E34" s="6" t="s">
        <v>144</v>
      </c>
      <c r="F34" s="7" t="s">
        <v>27</v>
      </c>
      <c r="G34" s="7"/>
      <c r="H34" s="7"/>
      <c r="I34" s="7"/>
    </row>
    <row r="35" customFormat="false" ht="15" hidden="false" customHeight="false" outlineLevel="0" collapsed="false">
      <c r="A35" s="5" t="s">
        <v>145</v>
      </c>
      <c r="B35" s="6" t="s">
        <v>138</v>
      </c>
      <c r="C35" s="6" t="s">
        <v>146</v>
      </c>
      <c r="D35" s="6" t="s">
        <v>147</v>
      </c>
      <c r="E35" s="6" t="s">
        <v>148</v>
      </c>
      <c r="F35" s="7" t="s">
        <v>27</v>
      </c>
      <c r="G35" s="7"/>
      <c r="H35" s="7"/>
      <c r="I35" s="7"/>
    </row>
    <row r="36" customFormat="false" ht="26.85" hidden="false" customHeight="false" outlineLevel="0" collapsed="false">
      <c r="A36" s="5" t="s">
        <v>149</v>
      </c>
      <c r="B36" s="6" t="s">
        <v>138</v>
      </c>
      <c r="C36" s="6" t="s">
        <v>139</v>
      </c>
      <c r="D36" s="6" t="s">
        <v>150</v>
      </c>
      <c r="E36" s="6" t="s">
        <v>151</v>
      </c>
      <c r="F36" s="7" t="s">
        <v>27</v>
      </c>
      <c r="G36" s="7"/>
      <c r="H36" s="7"/>
      <c r="I36" s="7"/>
    </row>
    <row r="37" customFormat="false" ht="26.85" hidden="false" customHeight="false" outlineLevel="0" collapsed="false">
      <c r="A37" s="5" t="s">
        <v>152</v>
      </c>
      <c r="B37" s="6" t="s">
        <v>153</v>
      </c>
      <c r="C37" s="6" t="s">
        <v>139</v>
      </c>
      <c r="D37" s="6" t="s">
        <v>154</v>
      </c>
      <c r="E37" s="6" t="s">
        <v>155</v>
      </c>
      <c r="F37" s="7" t="s">
        <v>27</v>
      </c>
      <c r="G37" s="7"/>
      <c r="H37" s="7"/>
      <c r="I37" s="7"/>
    </row>
    <row r="38" customFormat="false" ht="26.85" hidden="false" customHeight="false" outlineLevel="0" collapsed="false">
      <c r="A38" s="5" t="s">
        <v>156</v>
      </c>
      <c r="B38" s="6" t="s">
        <v>153</v>
      </c>
      <c r="C38" s="6" t="s">
        <v>139</v>
      </c>
      <c r="D38" s="6" t="s">
        <v>157</v>
      </c>
      <c r="E38" s="6" t="s">
        <v>158</v>
      </c>
      <c r="F38" s="7" t="s">
        <v>27</v>
      </c>
      <c r="G38" s="7"/>
      <c r="H38" s="7"/>
      <c r="I38" s="7"/>
    </row>
    <row r="39" customFormat="false" ht="15" hidden="false" customHeight="false" outlineLevel="0" collapsed="false">
      <c r="A39" s="5" t="s">
        <v>159</v>
      </c>
      <c r="B39" s="6" t="s">
        <v>160</v>
      </c>
      <c r="C39" s="6" t="s">
        <v>161</v>
      </c>
      <c r="D39" s="6" t="s">
        <v>162</v>
      </c>
      <c r="E39" s="6" t="s">
        <v>163</v>
      </c>
      <c r="F39" s="7" t="s">
        <v>27</v>
      </c>
      <c r="G39" s="7"/>
      <c r="H39" s="7"/>
      <c r="I39" s="7"/>
    </row>
    <row r="40" customFormat="false" ht="26.85" hidden="false" customHeight="false" outlineLevel="0" collapsed="false">
      <c r="A40" s="5" t="s">
        <v>164</v>
      </c>
      <c r="B40" s="6" t="s">
        <v>160</v>
      </c>
      <c r="C40" s="6" t="s">
        <v>161</v>
      </c>
      <c r="D40" s="6" t="s">
        <v>165</v>
      </c>
      <c r="E40" s="6" t="s">
        <v>166</v>
      </c>
      <c r="F40" s="7" t="s">
        <v>27</v>
      </c>
      <c r="G40" s="7"/>
      <c r="H40" s="7"/>
      <c r="I40" s="7"/>
    </row>
    <row r="41" customFormat="false" ht="26.85" hidden="false" customHeight="false" outlineLevel="0" collapsed="false">
      <c r="A41" s="5" t="s">
        <v>167</v>
      </c>
      <c r="B41" s="6" t="s">
        <v>160</v>
      </c>
      <c r="C41" s="6" t="s">
        <v>168</v>
      </c>
      <c r="D41" s="6" t="s">
        <v>169</v>
      </c>
      <c r="E41" s="6" t="s">
        <v>170</v>
      </c>
      <c r="F41" s="7" t="s">
        <v>27</v>
      </c>
      <c r="G41" s="7"/>
      <c r="H41" s="7"/>
      <c r="I41" s="7"/>
    </row>
    <row r="42" customFormat="false" ht="26.85" hidden="false" customHeight="false" outlineLevel="0" collapsed="false">
      <c r="A42" s="5" t="s">
        <v>171</v>
      </c>
      <c r="B42" s="6" t="s">
        <v>172</v>
      </c>
      <c r="C42" s="6" t="s">
        <v>173</v>
      </c>
      <c r="D42" s="6" t="s">
        <v>174</v>
      </c>
      <c r="E42" s="6" t="s">
        <v>175</v>
      </c>
      <c r="F42" s="7" t="s">
        <v>27</v>
      </c>
      <c r="G42" s="7"/>
      <c r="H42" s="7"/>
      <c r="I42" s="7"/>
    </row>
    <row r="43" customFormat="false" ht="26.85" hidden="false" customHeight="false" outlineLevel="0" collapsed="false">
      <c r="A43" s="5" t="s">
        <v>176</v>
      </c>
      <c r="B43" s="6" t="s">
        <v>172</v>
      </c>
      <c r="C43" s="6" t="s">
        <v>173</v>
      </c>
      <c r="D43" s="6" t="s">
        <v>177</v>
      </c>
      <c r="E43" s="6" t="s">
        <v>178</v>
      </c>
      <c r="F43" s="7" t="s">
        <v>27</v>
      </c>
      <c r="G43" s="7"/>
      <c r="H43" s="7"/>
      <c r="I43" s="7"/>
    </row>
    <row r="44" customFormat="false" ht="26.85" hidden="false" customHeight="false" outlineLevel="0" collapsed="false">
      <c r="A44" s="5" t="s">
        <v>179</v>
      </c>
      <c r="B44" s="6" t="s">
        <v>172</v>
      </c>
      <c r="C44" s="6" t="s">
        <v>126</v>
      </c>
      <c r="D44" s="6" t="s">
        <v>180</v>
      </c>
      <c r="E44" s="6" t="s">
        <v>181</v>
      </c>
      <c r="F44" s="7" t="s">
        <v>27</v>
      </c>
      <c r="G44" s="7"/>
      <c r="H44" s="7"/>
      <c r="I44" s="7"/>
    </row>
    <row r="45" customFormat="false" ht="26.85" hidden="false" customHeight="false" outlineLevel="0" collapsed="false">
      <c r="A45" s="5" t="s">
        <v>182</v>
      </c>
      <c r="B45" s="6" t="s">
        <v>172</v>
      </c>
      <c r="C45" s="6" t="s">
        <v>131</v>
      </c>
      <c r="D45" s="6" t="s">
        <v>183</v>
      </c>
      <c r="E45" s="6" t="s">
        <v>184</v>
      </c>
      <c r="F45" s="7" t="s">
        <v>27</v>
      </c>
      <c r="G45" s="7"/>
      <c r="H45" s="7"/>
      <c r="I45" s="7"/>
    </row>
    <row r="46" customFormat="false" ht="26.85" hidden="false" customHeight="false" outlineLevel="0" collapsed="false">
      <c r="A46" s="5" t="s">
        <v>185</v>
      </c>
      <c r="B46" s="6" t="s">
        <v>172</v>
      </c>
      <c r="C46" s="6" t="s">
        <v>173</v>
      </c>
      <c r="D46" s="6" t="s">
        <v>186</v>
      </c>
      <c r="E46" s="6" t="s">
        <v>187</v>
      </c>
      <c r="F46" s="7" t="s">
        <v>27</v>
      </c>
      <c r="G46" s="7"/>
      <c r="H46" s="7"/>
      <c r="I46" s="7"/>
    </row>
    <row r="47" customFormat="false" ht="26.85" hidden="false" customHeight="false" outlineLevel="0" collapsed="false">
      <c r="A47" s="5" t="s">
        <v>188</v>
      </c>
      <c r="B47" s="6" t="s">
        <v>189</v>
      </c>
      <c r="C47" s="6" t="s">
        <v>190</v>
      </c>
      <c r="D47" s="6" t="s">
        <v>191</v>
      </c>
      <c r="E47" s="6" t="s">
        <v>192</v>
      </c>
      <c r="F47" s="7" t="s">
        <v>27</v>
      </c>
      <c r="G47" s="7"/>
      <c r="H47" s="7"/>
      <c r="I47" s="7"/>
    </row>
    <row r="48" customFormat="false" ht="26.85" hidden="false" customHeight="false" outlineLevel="0" collapsed="false">
      <c r="A48" s="5" t="s">
        <v>193</v>
      </c>
      <c r="B48" s="6" t="s">
        <v>92</v>
      </c>
      <c r="C48" s="6" t="s">
        <v>93</v>
      </c>
      <c r="D48" s="6" t="s">
        <v>194</v>
      </c>
      <c r="E48" s="6" t="s">
        <v>195</v>
      </c>
      <c r="F48" s="7" t="s">
        <v>27</v>
      </c>
      <c r="G48" s="7"/>
      <c r="H48" s="7"/>
      <c r="I48" s="7"/>
    </row>
    <row r="49" customFormat="false" ht="26.85" hidden="false" customHeight="false" outlineLevel="0" collapsed="false">
      <c r="A49" s="5" t="s">
        <v>196</v>
      </c>
      <c r="B49" s="6" t="s">
        <v>197</v>
      </c>
      <c r="C49" s="6" t="s">
        <v>198</v>
      </c>
      <c r="D49" s="6" t="s">
        <v>199</v>
      </c>
      <c r="E49" s="6" t="s">
        <v>200</v>
      </c>
      <c r="F49" s="7" t="s">
        <v>27</v>
      </c>
      <c r="G49" s="7"/>
      <c r="H49" s="7"/>
      <c r="I49" s="7"/>
    </row>
  </sheetData>
  <autoFilter ref="A1:I49"/>
  <conditionalFormatting sqref="F2:F49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true" errorStyle="stop" operator="between" showDropDown="false" showErrorMessage="false" showInputMessage="false" sqref="F2:F4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8" t="s">
        <v>201</v>
      </c>
    </row>
    <row r="3" customFormat="false" ht="15" hidden="false" customHeight="false" outlineLevel="0" collapsed="false">
      <c r="A3" s="4" t="s">
        <v>18</v>
      </c>
      <c r="B3" s="4" t="s">
        <v>202</v>
      </c>
    </row>
    <row r="4" customFormat="false" ht="15" hidden="false" customHeight="false" outlineLevel="0" collapsed="false">
      <c r="A4" s="6" t="s">
        <v>203</v>
      </c>
      <c r="B4" s="6" t="n">
        <f aca="false">COUNTIF('System tests'!$F$2:$F$49,A4)</f>
        <v>0</v>
      </c>
    </row>
    <row r="5" customFormat="false" ht="15" hidden="false" customHeight="false" outlineLevel="0" collapsed="false">
      <c r="A5" s="6" t="s">
        <v>204</v>
      </c>
      <c r="B5" s="6" t="n">
        <f aca="false">COUNTIF('System tests'!$F$2:$F$49,A5)</f>
        <v>0</v>
      </c>
    </row>
    <row r="6" customFormat="false" ht="15" hidden="false" customHeight="false" outlineLevel="0" collapsed="false">
      <c r="A6" s="6" t="s">
        <v>205</v>
      </c>
      <c r="B6" s="6" t="n">
        <f aca="false">COUNTIF('System tests'!$F$2:$F$49,A6)</f>
        <v>0</v>
      </c>
    </row>
    <row r="7" customFormat="false" ht="15" hidden="false" customHeight="false" outlineLevel="0" collapsed="false">
      <c r="A7" s="6" t="s">
        <v>27</v>
      </c>
      <c r="B7" s="6" t="n">
        <f aca="false">COUNTIF('System tests'!$F$2:$F$49,A7)</f>
        <v>48</v>
      </c>
    </row>
    <row r="8" customFormat="false" ht="15" hidden="false" customHeight="false" outlineLevel="0" collapsed="false">
      <c r="A8" s="5" t="s">
        <v>206</v>
      </c>
      <c r="B8" s="5" t="n">
        <f aca="false">SUM(B4:B7)</f>
        <v>48</v>
      </c>
    </row>
    <row r="9" customFormat="false" ht="15" hidden="false" customHeight="false" outlineLevel="0" collapsed="false">
      <c r="A9" s="5" t="s">
        <v>207</v>
      </c>
      <c r="B9" s="9" t="str">
        <f aca="false">IF(B4+B5+B6=0,"-",B4/(B4+B5+B6))</f>
        <v>-</v>
      </c>
    </row>
    <row r="11" customFormat="false" ht="15" hidden="false" customHeight="false" outlineLevel="0" collapsed="false">
      <c r="A11" s="4" t="s">
        <v>14</v>
      </c>
      <c r="B11" s="4" t="s">
        <v>202</v>
      </c>
      <c r="C11" s="4" t="s">
        <v>203</v>
      </c>
      <c r="D11" s="4" t="s">
        <v>204</v>
      </c>
      <c r="E11" s="4" t="s">
        <v>205</v>
      </c>
      <c r="F11" s="4" t="s">
        <v>27</v>
      </c>
      <c r="G11" s="4" t="s">
        <v>208</v>
      </c>
    </row>
    <row r="12" customFormat="false" ht="15" hidden="false" customHeight="false" outlineLevel="0" collapsed="false">
      <c r="A12" s="6" t="s">
        <v>23</v>
      </c>
      <c r="B12" s="6" t="n">
        <f aca="false">COUNTIF('System tests'!$B$2:$B$49,A12)</f>
        <v>7</v>
      </c>
      <c r="C12" s="6" t="n">
        <f aca="false">COUNTIFS('System tests'!$B$2:$B$49,$A12,'System tests'!$F$2:$F$49,"Pass")</f>
        <v>0</v>
      </c>
      <c r="D12" s="6" t="n">
        <f aca="false">COUNTIFS('System tests'!$B$2:$B$49,$A12,'System tests'!$F$2:$F$49,"Fail")</f>
        <v>0</v>
      </c>
      <c r="E12" s="6" t="n">
        <f aca="false">COUNTIFS('System tests'!$B$2:$B$49,$A12,'System tests'!$F$2:$F$49,"Blocked")</f>
        <v>0</v>
      </c>
      <c r="F12" s="6" t="n">
        <f aca="false">COUNTIFS('System tests'!$B$2:$B$49,$A12,'System tests'!$F$2:$F$49,"Not run")</f>
        <v>7</v>
      </c>
      <c r="G12" s="10" t="str">
        <f aca="false">IF(C12+D12+E12=0,"-",C12/(C12+D12+E12))</f>
        <v>-</v>
      </c>
    </row>
    <row r="13" customFormat="false" ht="15" hidden="false" customHeight="false" outlineLevel="0" collapsed="false">
      <c r="A13" s="6" t="s">
        <v>47</v>
      </c>
      <c r="B13" s="6" t="n">
        <f aca="false">COUNTIF('System tests'!$B$2:$B$49,A13)</f>
        <v>1</v>
      </c>
      <c r="C13" s="6" t="n">
        <f aca="false">COUNTIFS('System tests'!$B$2:$B$49,$A13,'System tests'!$F$2:$F$49,"Pass")</f>
        <v>0</v>
      </c>
      <c r="D13" s="6" t="n">
        <f aca="false">COUNTIFS('System tests'!$B$2:$B$49,$A13,'System tests'!$F$2:$F$49,"Fail")</f>
        <v>0</v>
      </c>
      <c r="E13" s="6" t="n">
        <f aca="false">COUNTIFS('System tests'!$B$2:$B$49,$A13,'System tests'!$F$2:$F$49,"Blocked")</f>
        <v>0</v>
      </c>
      <c r="F13" s="6" t="n">
        <f aca="false">COUNTIFS('System tests'!$B$2:$B$49,$A13,'System tests'!$F$2:$F$49,"Not run")</f>
        <v>1</v>
      </c>
      <c r="G13" s="10" t="str">
        <f aca="false">IF(C13+D13+E13=0,"-",C13/(C13+D13+E13))</f>
        <v>-</v>
      </c>
    </row>
    <row r="14" customFormat="false" ht="15" hidden="false" customHeight="false" outlineLevel="0" collapsed="false">
      <c r="A14" s="6" t="s">
        <v>52</v>
      </c>
      <c r="B14" s="6" t="n">
        <f aca="false">COUNTIF('System tests'!$B$2:$B$49,A14)</f>
        <v>1</v>
      </c>
      <c r="C14" s="6" t="n">
        <f aca="false">COUNTIFS('System tests'!$B$2:$B$49,$A14,'System tests'!$F$2:$F$49,"Pass")</f>
        <v>0</v>
      </c>
      <c r="D14" s="6" t="n">
        <f aca="false">COUNTIFS('System tests'!$B$2:$B$49,$A14,'System tests'!$F$2:$F$49,"Fail")</f>
        <v>0</v>
      </c>
      <c r="E14" s="6" t="n">
        <f aca="false">COUNTIFS('System tests'!$B$2:$B$49,$A14,'System tests'!$F$2:$F$49,"Blocked")</f>
        <v>0</v>
      </c>
      <c r="F14" s="6" t="n">
        <f aca="false">COUNTIFS('System tests'!$B$2:$B$49,$A14,'System tests'!$F$2:$F$49,"Not run")</f>
        <v>1</v>
      </c>
      <c r="G14" s="10" t="str">
        <f aca="false">IF(C14+D14+E14=0,"-",C14/(C14+D14+E14))</f>
        <v>-</v>
      </c>
    </row>
    <row r="15" customFormat="false" ht="15" hidden="false" customHeight="false" outlineLevel="0" collapsed="false">
      <c r="A15" s="6" t="s">
        <v>57</v>
      </c>
      <c r="B15" s="6" t="n">
        <f aca="false">COUNTIF('System tests'!$B$2:$B$49,A15)</f>
        <v>8</v>
      </c>
      <c r="C15" s="6" t="n">
        <f aca="false">COUNTIFS('System tests'!$B$2:$B$49,$A15,'System tests'!$F$2:$F$49,"Pass")</f>
        <v>0</v>
      </c>
      <c r="D15" s="6" t="n">
        <f aca="false">COUNTIFS('System tests'!$B$2:$B$49,$A15,'System tests'!$F$2:$F$49,"Fail")</f>
        <v>0</v>
      </c>
      <c r="E15" s="6" t="n">
        <f aca="false">COUNTIFS('System tests'!$B$2:$B$49,$A15,'System tests'!$F$2:$F$49,"Blocked")</f>
        <v>0</v>
      </c>
      <c r="F15" s="6" t="n">
        <f aca="false">COUNTIFS('System tests'!$B$2:$B$49,$A15,'System tests'!$F$2:$F$49,"Not run")</f>
        <v>8</v>
      </c>
      <c r="G15" s="10" t="str">
        <f aca="false">IF(C15+D15+E15=0,"-",C15/(C15+D15+E15))</f>
        <v>-</v>
      </c>
    </row>
    <row r="16" customFormat="false" ht="15" hidden="false" customHeight="false" outlineLevel="0" collapsed="false">
      <c r="A16" s="6" t="s">
        <v>74</v>
      </c>
      <c r="B16" s="6" t="n">
        <f aca="false">COUNTIF('System tests'!$B$2:$B$49,A16)</f>
        <v>2</v>
      </c>
      <c r="C16" s="6" t="n">
        <f aca="false">COUNTIFS('System tests'!$B$2:$B$49,$A16,'System tests'!$F$2:$F$49,"Pass")</f>
        <v>0</v>
      </c>
      <c r="D16" s="6" t="n">
        <f aca="false">COUNTIFS('System tests'!$B$2:$B$49,$A16,'System tests'!$F$2:$F$49,"Fail")</f>
        <v>0</v>
      </c>
      <c r="E16" s="6" t="n">
        <f aca="false">COUNTIFS('System tests'!$B$2:$B$49,$A16,'System tests'!$F$2:$F$49,"Blocked")</f>
        <v>0</v>
      </c>
      <c r="F16" s="6" t="n">
        <f aca="false">COUNTIFS('System tests'!$B$2:$B$49,$A16,'System tests'!$F$2:$F$49,"Not run")</f>
        <v>2</v>
      </c>
      <c r="G16" s="10" t="str">
        <f aca="false">IF(C16+D16+E16=0,"-",C16/(C16+D16+E16))</f>
        <v>-</v>
      </c>
    </row>
    <row r="17" customFormat="false" ht="15" hidden="false" customHeight="false" outlineLevel="0" collapsed="false">
      <c r="A17" s="6" t="s">
        <v>92</v>
      </c>
      <c r="B17" s="6" t="n">
        <f aca="false">COUNTIF('System tests'!$B$2:$B$49,A17)</f>
        <v>2</v>
      </c>
      <c r="C17" s="6" t="n">
        <f aca="false">COUNTIFS('System tests'!$B$2:$B$49,$A17,'System tests'!$F$2:$F$49,"Pass")</f>
        <v>0</v>
      </c>
      <c r="D17" s="6" t="n">
        <f aca="false">COUNTIFS('System tests'!$B$2:$B$49,$A17,'System tests'!$F$2:$F$49,"Fail")</f>
        <v>0</v>
      </c>
      <c r="E17" s="6" t="n">
        <f aca="false">COUNTIFS('System tests'!$B$2:$B$49,$A17,'System tests'!$F$2:$F$49,"Blocked")</f>
        <v>0</v>
      </c>
      <c r="F17" s="6" t="n">
        <f aca="false">COUNTIFS('System tests'!$B$2:$B$49,$A17,'System tests'!$F$2:$F$49,"Not run")</f>
        <v>2</v>
      </c>
      <c r="G17" s="10" t="str">
        <f aca="false">IF(C17+D17+E17=0,"-",C17/(C17+D17+E17))</f>
        <v>-</v>
      </c>
    </row>
    <row r="18" customFormat="false" ht="15" hidden="false" customHeight="false" outlineLevel="0" collapsed="false">
      <c r="A18" s="6" t="s">
        <v>97</v>
      </c>
      <c r="B18" s="6" t="n">
        <f aca="false">COUNTIF('System tests'!$B$2:$B$49,A18)</f>
        <v>4</v>
      </c>
      <c r="C18" s="6" t="n">
        <f aca="false">COUNTIFS('System tests'!$B$2:$B$49,$A18,'System tests'!$F$2:$F$49,"Pass")</f>
        <v>0</v>
      </c>
      <c r="D18" s="6" t="n">
        <f aca="false">COUNTIFS('System tests'!$B$2:$B$49,$A18,'System tests'!$F$2:$F$49,"Fail")</f>
        <v>0</v>
      </c>
      <c r="E18" s="6" t="n">
        <f aca="false">COUNTIFS('System tests'!$B$2:$B$49,$A18,'System tests'!$F$2:$F$49,"Blocked")</f>
        <v>0</v>
      </c>
      <c r="F18" s="6" t="n">
        <f aca="false">COUNTIFS('System tests'!$B$2:$B$49,$A18,'System tests'!$F$2:$F$49,"Not run")</f>
        <v>4</v>
      </c>
      <c r="G18" s="10" t="str">
        <f aca="false">IF(C18+D18+E18=0,"-",C18/(C18+D18+E18))</f>
        <v>-</v>
      </c>
    </row>
    <row r="19" customFormat="false" ht="15" hidden="false" customHeight="false" outlineLevel="0" collapsed="false">
      <c r="A19" s="6" t="s">
        <v>111</v>
      </c>
      <c r="B19" s="6" t="n">
        <f aca="false">COUNTIF('System tests'!$B$2:$B$49,A19)</f>
        <v>4</v>
      </c>
      <c r="C19" s="6" t="n">
        <f aca="false">COUNTIFS('System tests'!$B$2:$B$49,$A19,'System tests'!$F$2:$F$49,"Pass")</f>
        <v>0</v>
      </c>
      <c r="D19" s="6" t="n">
        <f aca="false">COUNTIFS('System tests'!$B$2:$B$49,$A19,'System tests'!$F$2:$F$49,"Fail")</f>
        <v>0</v>
      </c>
      <c r="E19" s="6" t="n">
        <f aca="false">COUNTIFS('System tests'!$B$2:$B$49,$A19,'System tests'!$F$2:$F$49,"Blocked")</f>
        <v>0</v>
      </c>
      <c r="F19" s="6" t="n">
        <f aca="false">COUNTIFS('System tests'!$B$2:$B$49,$A19,'System tests'!$F$2:$F$49,"Not run")</f>
        <v>4</v>
      </c>
      <c r="G19" s="10" t="str">
        <f aca="false">IF(C19+D19+E19=0,"-",C19/(C19+D19+E19))</f>
        <v>-</v>
      </c>
    </row>
    <row r="20" customFormat="false" ht="15" hidden="false" customHeight="false" outlineLevel="0" collapsed="false">
      <c r="A20" s="6" t="s">
        <v>125</v>
      </c>
      <c r="B20" s="6" t="n">
        <f aca="false">COUNTIF('System tests'!$B$2:$B$49,A20)</f>
        <v>1</v>
      </c>
      <c r="C20" s="6" t="n">
        <f aca="false">COUNTIFS('System tests'!$B$2:$B$49,$A20,'System tests'!$F$2:$F$49,"Pass")</f>
        <v>0</v>
      </c>
      <c r="D20" s="6" t="n">
        <f aca="false">COUNTIFS('System tests'!$B$2:$B$49,$A20,'System tests'!$F$2:$F$49,"Fail")</f>
        <v>0</v>
      </c>
      <c r="E20" s="6" t="n">
        <f aca="false">COUNTIFS('System tests'!$B$2:$B$49,$A20,'System tests'!$F$2:$F$49,"Blocked")</f>
        <v>0</v>
      </c>
      <c r="F20" s="6" t="n">
        <f aca="false">COUNTIFS('System tests'!$B$2:$B$49,$A20,'System tests'!$F$2:$F$49,"Not run")</f>
        <v>1</v>
      </c>
      <c r="G20" s="10" t="str">
        <f aca="false">IF(C20+D20+E20=0,"-",C20/(C20+D20+E20))</f>
        <v>-</v>
      </c>
    </row>
    <row r="21" customFormat="false" ht="15" hidden="false" customHeight="false" outlineLevel="0" collapsed="false">
      <c r="A21" s="6" t="s">
        <v>130</v>
      </c>
      <c r="B21" s="6" t="n">
        <f aca="false">COUNTIF('System tests'!$B$2:$B$49,A21)</f>
        <v>2</v>
      </c>
      <c r="C21" s="6" t="n">
        <f aca="false">COUNTIFS('System tests'!$B$2:$B$49,$A21,'System tests'!$F$2:$F$49,"Pass")</f>
        <v>0</v>
      </c>
      <c r="D21" s="6" t="n">
        <f aca="false">COUNTIFS('System tests'!$B$2:$B$49,$A21,'System tests'!$F$2:$F$49,"Fail")</f>
        <v>0</v>
      </c>
      <c r="E21" s="6" t="n">
        <f aca="false">COUNTIFS('System tests'!$B$2:$B$49,$A21,'System tests'!$F$2:$F$49,"Blocked")</f>
        <v>0</v>
      </c>
      <c r="F21" s="6" t="n">
        <f aca="false">COUNTIFS('System tests'!$B$2:$B$49,$A21,'System tests'!$F$2:$F$49,"Not run")</f>
        <v>2</v>
      </c>
      <c r="G21" s="10" t="str">
        <f aca="false">IF(C21+D21+E21=0,"-",C21/(C21+D21+E21))</f>
        <v>-</v>
      </c>
    </row>
    <row r="22" customFormat="false" ht="15" hidden="false" customHeight="false" outlineLevel="0" collapsed="false">
      <c r="A22" s="6" t="s">
        <v>138</v>
      </c>
      <c r="B22" s="6" t="n">
        <f aca="false">COUNTIF('System tests'!$B$2:$B$49,A22)</f>
        <v>4</v>
      </c>
      <c r="C22" s="6" t="n">
        <f aca="false">COUNTIFS('System tests'!$B$2:$B$49,$A22,'System tests'!$F$2:$F$49,"Pass")</f>
        <v>0</v>
      </c>
      <c r="D22" s="6" t="n">
        <f aca="false">COUNTIFS('System tests'!$B$2:$B$49,$A22,'System tests'!$F$2:$F$49,"Fail")</f>
        <v>0</v>
      </c>
      <c r="E22" s="6" t="n">
        <f aca="false">COUNTIFS('System tests'!$B$2:$B$49,$A22,'System tests'!$F$2:$F$49,"Blocked")</f>
        <v>0</v>
      </c>
      <c r="F22" s="6" t="n">
        <f aca="false">COUNTIFS('System tests'!$B$2:$B$49,$A22,'System tests'!$F$2:$F$49,"Not run")</f>
        <v>4</v>
      </c>
      <c r="G22" s="10" t="str">
        <f aca="false">IF(C22+D22+E22=0,"-",C22/(C22+D22+E22))</f>
        <v>-</v>
      </c>
    </row>
    <row r="23" customFormat="false" ht="15" hidden="false" customHeight="false" outlineLevel="0" collapsed="false">
      <c r="A23" s="6" t="s">
        <v>153</v>
      </c>
      <c r="B23" s="6" t="n">
        <f aca="false">COUNTIF('System tests'!$B$2:$B$49,A23)</f>
        <v>2</v>
      </c>
      <c r="C23" s="6" t="n">
        <f aca="false">COUNTIFS('System tests'!$B$2:$B$49,$A23,'System tests'!$F$2:$F$49,"Pass")</f>
        <v>0</v>
      </c>
      <c r="D23" s="6" t="n">
        <f aca="false">COUNTIFS('System tests'!$B$2:$B$49,$A23,'System tests'!$F$2:$F$49,"Fail")</f>
        <v>0</v>
      </c>
      <c r="E23" s="6" t="n">
        <f aca="false">COUNTIFS('System tests'!$B$2:$B$49,$A23,'System tests'!$F$2:$F$49,"Blocked")</f>
        <v>0</v>
      </c>
      <c r="F23" s="6" t="n">
        <f aca="false">COUNTIFS('System tests'!$B$2:$B$49,$A23,'System tests'!$F$2:$F$49,"Not run")</f>
        <v>2</v>
      </c>
      <c r="G23" s="10" t="str">
        <f aca="false">IF(C23+D23+E23=0,"-",C23/(C23+D23+E23))</f>
        <v>-</v>
      </c>
    </row>
    <row r="24" customFormat="false" ht="15" hidden="false" customHeight="false" outlineLevel="0" collapsed="false">
      <c r="A24" s="6" t="s">
        <v>160</v>
      </c>
      <c r="B24" s="6" t="n">
        <f aca="false">COUNTIF('System tests'!$B$2:$B$49,A24)</f>
        <v>3</v>
      </c>
      <c r="C24" s="6" t="n">
        <f aca="false">COUNTIFS('System tests'!$B$2:$B$49,$A24,'System tests'!$F$2:$F$49,"Pass")</f>
        <v>0</v>
      </c>
      <c r="D24" s="6" t="n">
        <f aca="false">COUNTIFS('System tests'!$B$2:$B$49,$A24,'System tests'!$F$2:$F$49,"Fail")</f>
        <v>0</v>
      </c>
      <c r="E24" s="6" t="n">
        <f aca="false">COUNTIFS('System tests'!$B$2:$B$49,$A24,'System tests'!$F$2:$F$49,"Blocked")</f>
        <v>0</v>
      </c>
      <c r="F24" s="6" t="n">
        <f aca="false">COUNTIFS('System tests'!$B$2:$B$49,$A24,'System tests'!$F$2:$F$49,"Not run")</f>
        <v>3</v>
      </c>
      <c r="G24" s="10" t="str">
        <f aca="false">IF(C24+D24+E24=0,"-",C24/(C24+D24+E24))</f>
        <v>-</v>
      </c>
    </row>
    <row r="25" customFormat="false" ht="15" hidden="false" customHeight="false" outlineLevel="0" collapsed="false">
      <c r="A25" s="6" t="s">
        <v>172</v>
      </c>
      <c r="B25" s="6" t="n">
        <f aca="false">COUNTIF('System tests'!$B$2:$B$49,A25)</f>
        <v>5</v>
      </c>
      <c r="C25" s="6" t="n">
        <f aca="false">COUNTIFS('System tests'!$B$2:$B$49,$A25,'System tests'!$F$2:$F$49,"Pass")</f>
        <v>0</v>
      </c>
      <c r="D25" s="6" t="n">
        <f aca="false">COUNTIFS('System tests'!$B$2:$B$49,$A25,'System tests'!$F$2:$F$49,"Fail")</f>
        <v>0</v>
      </c>
      <c r="E25" s="6" t="n">
        <f aca="false">COUNTIFS('System tests'!$B$2:$B$49,$A25,'System tests'!$F$2:$F$49,"Blocked")</f>
        <v>0</v>
      </c>
      <c r="F25" s="6" t="n">
        <f aca="false">COUNTIFS('System tests'!$B$2:$B$49,$A25,'System tests'!$F$2:$F$49,"Not run")</f>
        <v>5</v>
      </c>
      <c r="G25" s="10" t="str">
        <f aca="false">IF(C25+D25+E25=0,"-",C25/(C25+D25+E25))</f>
        <v>-</v>
      </c>
    </row>
    <row r="26" customFormat="false" ht="15" hidden="false" customHeight="false" outlineLevel="0" collapsed="false">
      <c r="A26" s="6" t="s">
        <v>189</v>
      </c>
      <c r="B26" s="6" t="n">
        <f aca="false">COUNTIF('System tests'!$B$2:$B$49,A26)</f>
        <v>1</v>
      </c>
      <c r="C26" s="6" t="n">
        <f aca="false">COUNTIFS('System tests'!$B$2:$B$49,$A26,'System tests'!$F$2:$F$49,"Pass")</f>
        <v>0</v>
      </c>
      <c r="D26" s="6" t="n">
        <f aca="false">COUNTIFS('System tests'!$B$2:$B$49,$A26,'System tests'!$F$2:$F$49,"Fail")</f>
        <v>0</v>
      </c>
      <c r="E26" s="6" t="n">
        <f aca="false">COUNTIFS('System tests'!$B$2:$B$49,$A26,'System tests'!$F$2:$F$49,"Blocked")</f>
        <v>0</v>
      </c>
      <c r="F26" s="6" t="n">
        <f aca="false">COUNTIFS('System tests'!$B$2:$B$49,$A26,'System tests'!$F$2:$F$49,"Not run")</f>
        <v>1</v>
      </c>
      <c r="G26" s="10" t="str">
        <f aca="false">IF(C26+D26+E26=0,"-",C26/(C26+D26+E26))</f>
        <v>-</v>
      </c>
    </row>
    <row r="27" customFormat="false" ht="15" hidden="false" customHeight="false" outlineLevel="0" collapsed="false">
      <c r="A27" s="6" t="s">
        <v>197</v>
      </c>
      <c r="B27" s="6" t="n">
        <f aca="false">COUNTIF('System tests'!$B$2:$B$49,A27)</f>
        <v>1</v>
      </c>
      <c r="C27" s="6" t="n">
        <f aca="false">COUNTIFS('System tests'!$B$2:$B$49,$A27,'System tests'!$F$2:$F$49,"Pass")</f>
        <v>0</v>
      </c>
      <c r="D27" s="6" t="n">
        <f aca="false">COUNTIFS('System tests'!$B$2:$B$49,$A27,'System tests'!$F$2:$F$49,"Fail")</f>
        <v>0</v>
      </c>
      <c r="E27" s="6" t="n">
        <f aca="false">COUNTIFS('System tests'!$B$2:$B$49,$A27,'System tests'!$F$2:$F$49,"Blocked")</f>
        <v>0</v>
      </c>
      <c r="F27" s="6" t="n">
        <f aca="false">COUNTIFS('System tests'!$B$2:$B$49,$A27,'System tests'!$F$2:$F$49,"Not run")</f>
        <v>1</v>
      </c>
      <c r="G27" s="10" t="str">
        <f aca="false">IF(C27+D27+E27=0,"-",C27/(C27+D27+E27))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11" t="s">
        <v>209</v>
      </c>
    </row>
    <row r="3" customFormat="false" ht="39.5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  <c r="E3" s="4" t="s">
        <v>214</v>
      </c>
      <c r="F3" s="4" t="s">
        <v>215</v>
      </c>
      <c r="G3" s="4" t="s">
        <v>216</v>
      </c>
      <c r="H3" s="4" t="s">
        <v>217</v>
      </c>
      <c r="I3" s="4" t="s">
        <v>218</v>
      </c>
      <c r="J3" s="4" t="s">
        <v>219</v>
      </c>
    </row>
    <row r="4" customFormat="false" ht="26.85" hidden="false" customHeight="false" outlineLevel="0" collapsed="false">
      <c r="A4" s="5" t="s">
        <v>220</v>
      </c>
      <c r="B4" s="6" t="s">
        <v>221</v>
      </c>
      <c r="C4" s="6" t="s">
        <v>222</v>
      </c>
      <c r="D4" s="7"/>
      <c r="E4" s="7"/>
      <c r="F4" s="7"/>
      <c r="G4" s="7"/>
      <c r="H4" s="6" t="n">
        <f aca="false">SUM(D4:G4)</f>
        <v>0</v>
      </c>
      <c r="I4" s="10" t="str">
        <f aca="false">IF(H4-G4&lt;=0,"-",(D4+E4)/(H4-G4))</f>
        <v>-</v>
      </c>
      <c r="J4" s="10" t="str">
        <f aca="false">IF(H4-G4&lt;=0,"-",D4/(H4-G4))</f>
        <v>-</v>
      </c>
    </row>
    <row r="5" customFormat="false" ht="15" hidden="false" customHeight="false" outlineLevel="0" collapsed="false">
      <c r="A5" s="5" t="s">
        <v>223</v>
      </c>
      <c r="B5" s="6" t="s">
        <v>224</v>
      </c>
      <c r="C5" s="6" t="s">
        <v>225</v>
      </c>
      <c r="D5" s="7"/>
      <c r="E5" s="7"/>
      <c r="F5" s="7"/>
      <c r="G5" s="7"/>
      <c r="H5" s="6" t="n">
        <f aca="false">SUM(D5:G5)</f>
        <v>0</v>
      </c>
      <c r="I5" s="10" t="str">
        <f aca="false">IF(H5-G5&lt;=0,"-",(D5+E5)/(H5-G5))</f>
        <v>-</v>
      </c>
      <c r="J5" s="10" t="str">
        <f aca="false">IF(H5-G5&lt;=0,"-",D5/(H5-G5))</f>
        <v>-</v>
      </c>
    </row>
    <row r="6" customFormat="false" ht="26.85" hidden="false" customHeight="false" outlineLevel="0" collapsed="false">
      <c r="A6" s="5" t="s">
        <v>226</v>
      </c>
      <c r="B6" s="6" t="s">
        <v>227</v>
      </c>
      <c r="C6" s="6" t="s">
        <v>228</v>
      </c>
      <c r="D6" s="7"/>
      <c r="E6" s="7"/>
      <c r="F6" s="7"/>
      <c r="G6" s="7"/>
      <c r="H6" s="6" t="n">
        <f aca="false">SUM(D6:G6)</f>
        <v>0</v>
      </c>
      <c r="I6" s="10" t="str">
        <f aca="false">IF(H6-G6&lt;=0,"-",(D6+E6)/(H6-G6))</f>
        <v>-</v>
      </c>
      <c r="J6" s="10" t="str">
        <f aca="false">IF(H6-G6&lt;=0,"-",D6/(H6-G6))</f>
        <v>-</v>
      </c>
    </row>
    <row r="7" customFormat="false" ht="26.85" hidden="false" customHeight="false" outlineLevel="0" collapsed="false">
      <c r="A7" s="5" t="s">
        <v>229</v>
      </c>
      <c r="B7" s="6" t="s">
        <v>230</v>
      </c>
      <c r="C7" s="6" t="s">
        <v>231</v>
      </c>
      <c r="D7" s="7"/>
      <c r="E7" s="7"/>
      <c r="F7" s="7"/>
      <c r="G7" s="7"/>
      <c r="H7" s="6" t="n">
        <f aca="false">SUM(D7:G7)</f>
        <v>0</v>
      </c>
      <c r="I7" s="10" t="str">
        <f aca="false">IF(H7-G7&lt;=0,"-",(D7+E7)/(H7-G7))</f>
        <v>-</v>
      </c>
      <c r="J7" s="10" t="str">
        <f aca="false">IF(H7-G7&lt;=0,"-",D7/(H7-G7))</f>
        <v>-</v>
      </c>
    </row>
    <row r="8" customFormat="false" ht="15" hidden="false" customHeight="false" outlineLevel="0" collapsed="false">
      <c r="A8" s="5" t="s">
        <v>232</v>
      </c>
      <c r="B8" s="6" t="s">
        <v>233</v>
      </c>
      <c r="C8" s="6" t="s">
        <v>234</v>
      </c>
      <c r="D8" s="7"/>
      <c r="E8" s="7"/>
      <c r="F8" s="7"/>
      <c r="G8" s="7"/>
      <c r="H8" s="6" t="n">
        <f aca="false">SUM(D8:G8)</f>
        <v>0</v>
      </c>
      <c r="I8" s="10" t="str">
        <f aca="false">IF(H8-G8&lt;=0,"-",(D8+E8)/(H8-G8))</f>
        <v>-</v>
      </c>
      <c r="J8" s="10" t="str">
        <f aca="false">IF(H8-G8&lt;=0,"-",D8/(H8-G8))</f>
        <v>-</v>
      </c>
    </row>
    <row r="9" customFormat="false" ht="15" hidden="false" customHeight="false" outlineLevel="0" collapsed="false">
      <c r="A9" s="5" t="s">
        <v>235</v>
      </c>
      <c r="B9" s="6" t="s">
        <v>236</v>
      </c>
      <c r="C9" s="6" t="s">
        <v>237</v>
      </c>
      <c r="D9" s="7"/>
      <c r="E9" s="7"/>
      <c r="F9" s="7"/>
      <c r="G9" s="7"/>
      <c r="H9" s="6" t="n">
        <f aca="false">SUM(D9:G9)</f>
        <v>0</v>
      </c>
      <c r="I9" s="10" t="str">
        <f aca="false">IF(H9-G9&lt;=0,"-",(D9+E9)/(H9-G9))</f>
        <v>-</v>
      </c>
      <c r="J9" s="10" t="str">
        <f aca="false">IF(H9-G9&lt;=0,"-",D9/(H9-G9))</f>
        <v>-</v>
      </c>
    </row>
    <row r="10" customFormat="false" ht="15" hidden="false" customHeight="false" outlineLevel="0" collapsed="false">
      <c r="A10" s="5" t="s">
        <v>238</v>
      </c>
      <c r="B10" s="6" t="s">
        <v>239</v>
      </c>
      <c r="C10" s="6" t="s">
        <v>240</v>
      </c>
      <c r="D10" s="7"/>
      <c r="E10" s="7"/>
      <c r="F10" s="7"/>
      <c r="G10" s="7"/>
      <c r="H10" s="6" t="n">
        <f aca="false">SUM(D10:G10)</f>
        <v>0</v>
      </c>
      <c r="I10" s="10" t="str">
        <f aca="false">IF(H10-G10&lt;=0,"-",(D10+E10)/(H10-G10))</f>
        <v>-</v>
      </c>
      <c r="J10" s="10" t="str">
        <f aca="false">IF(H10-G10&lt;=0,"-",D10/(H10-G10))</f>
        <v>-</v>
      </c>
    </row>
    <row r="11" customFormat="false" ht="15" hidden="false" customHeight="false" outlineLevel="0" collapsed="false">
      <c r="A11" s="5" t="s">
        <v>241</v>
      </c>
      <c r="B11" s="6" t="s">
        <v>242</v>
      </c>
      <c r="C11" s="6" t="s">
        <v>243</v>
      </c>
      <c r="D11" s="7"/>
      <c r="E11" s="7"/>
      <c r="F11" s="7"/>
      <c r="G11" s="7"/>
      <c r="H11" s="6" t="n">
        <f aca="false">SUM(D11:G11)</f>
        <v>0</v>
      </c>
      <c r="I11" s="10" t="str">
        <f aca="false">IF(H11-G11&lt;=0,"-",(D11+E11)/(H11-G11))</f>
        <v>-</v>
      </c>
      <c r="J11" s="10" t="str">
        <f aca="false">IF(H11-G11&lt;=0,"-",D11/(H11-G11))</f>
        <v>-</v>
      </c>
    </row>
    <row r="13" customFormat="false" ht="15" hidden="false" customHeight="false" outlineLevel="0" collapsed="false">
      <c r="B13" s="1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1" min="2" style="0" width="6"/>
    <col collapsed="false" customWidth="true" hidden="false" outlineLevel="0" max="12" min="12" style="0" width="11"/>
    <col collapsed="false" customWidth="true" hidden="false" outlineLevel="0" max="14" min="14" style="0" width="26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11" t="s">
        <v>245</v>
      </c>
    </row>
    <row r="3" customFormat="false" ht="15" hidden="false" customHeight="false" outlineLevel="0" collapsed="false">
      <c r="A3" s="4" t="s">
        <v>246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  <c r="I3" s="4" t="s">
        <v>254</v>
      </c>
      <c r="J3" s="4" t="s">
        <v>255</v>
      </c>
      <c r="K3" s="4" t="s">
        <v>256</v>
      </c>
      <c r="L3" s="4" t="s">
        <v>257</v>
      </c>
      <c r="N3" s="11" t="s">
        <v>258</v>
      </c>
    </row>
    <row r="4" customFormat="false" ht="15" hidden="false" customHeight="false" outlineLevel="0" collapsed="false">
      <c r="A4" s="13" t="s">
        <v>259</v>
      </c>
      <c r="B4" s="13" t="n">
        <v>4</v>
      </c>
      <c r="C4" s="13" t="n">
        <v>2</v>
      </c>
      <c r="D4" s="13" t="n">
        <v>4</v>
      </c>
      <c r="E4" s="13" t="n">
        <v>1</v>
      </c>
      <c r="F4" s="13" t="n">
        <v>4</v>
      </c>
      <c r="G4" s="13" t="n">
        <v>2</v>
      </c>
      <c r="H4" s="13" t="n">
        <v>5</v>
      </c>
      <c r="I4" s="13" t="n">
        <v>2</v>
      </c>
      <c r="J4" s="13" t="n">
        <v>4</v>
      </c>
      <c r="K4" s="13" t="n">
        <v>2</v>
      </c>
      <c r="L4" s="13" t="n">
        <f aca="false">IF(COUNT(B4:K4)=10,((B4-1)+(5-C4)+(D4-1)+(5-E4)+(F4-1)+(5-G4)+(H4-1)+(5-I4)+(J4-1)+(5-K4))*2.5,"")</f>
        <v>80</v>
      </c>
      <c r="N4" s="5" t="s">
        <v>260</v>
      </c>
      <c r="O4" s="14" t="n">
        <f aca="false">COUNT(L5:L34)</f>
        <v>0</v>
      </c>
    </row>
    <row r="5" customFormat="false" ht="15" hidden="false" customHeight="false" outlineLevel="0" collapsed="false">
      <c r="A5" s="7" t="s">
        <v>261</v>
      </c>
      <c r="B5" s="7"/>
      <c r="C5" s="7"/>
      <c r="D5" s="7"/>
      <c r="E5" s="7"/>
      <c r="F5" s="7"/>
      <c r="G5" s="7"/>
      <c r="H5" s="7"/>
      <c r="I5" s="7"/>
      <c r="J5" s="7"/>
      <c r="K5" s="7"/>
      <c r="L5" s="15" t="str">
        <f aca="false">IF(COUNT(B5:K5)=10,((B5-1)+(5-C5)+(D5-1)+(5-E5)+(F5-1)+(5-G5)+(H5-1)+(5-I5)+(J5-1)+(5-K5))*2.5,"")</f>
        <v/>
      </c>
      <c r="N5" s="5" t="s">
        <v>262</v>
      </c>
      <c r="O5" s="15" t="str">
        <f aca="false">IF(COUNT(L5:L34)=0,"-",AVERAGE(L5:L34))</f>
        <v>-</v>
      </c>
    </row>
    <row r="6" customFormat="false" ht="15" hidden="false" customHeight="false" outlineLevel="0" collapsed="false">
      <c r="A6" s="7" t="s">
        <v>263</v>
      </c>
      <c r="B6" s="7"/>
      <c r="C6" s="7"/>
      <c r="D6" s="7"/>
      <c r="E6" s="7"/>
      <c r="F6" s="7"/>
      <c r="G6" s="7"/>
      <c r="H6" s="7"/>
      <c r="I6" s="7"/>
      <c r="J6" s="7"/>
      <c r="K6" s="7"/>
      <c r="L6" s="15" t="str">
        <f aca="false">IF(COUNT(B6:K6)=10,((B6-1)+(5-C6)+(D6-1)+(5-E6)+(F6-1)+(5-G6)+(H6-1)+(5-I6)+(J6-1)+(5-K6))*2.5,"")</f>
        <v/>
      </c>
      <c r="N6" s="5" t="s">
        <v>264</v>
      </c>
      <c r="O6" s="15" t="str">
        <f aca="false">IF(COUNT(L5:L34)=0,"-",MEDIAN(L5:L34))</f>
        <v>-</v>
      </c>
    </row>
    <row r="7" customFormat="false" ht="15" hidden="false" customHeight="false" outlineLevel="0" collapsed="false">
      <c r="A7" s="7" t="s">
        <v>265</v>
      </c>
      <c r="B7" s="7"/>
      <c r="C7" s="7"/>
      <c r="D7" s="7"/>
      <c r="E7" s="7"/>
      <c r="F7" s="7"/>
      <c r="G7" s="7"/>
      <c r="H7" s="7"/>
      <c r="I7" s="7"/>
      <c r="J7" s="7"/>
      <c r="K7" s="7"/>
      <c r="L7" s="15" t="str">
        <f aca="false">IF(COUNT(B7:K7)=10,((B7-1)+(5-C7)+(D7-1)+(5-E7)+(F7-1)+(5-G7)+(H7-1)+(5-I7)+(J7-1)+(5-K7))*2.5,"")</f>
        <v/>
      </c>
      <c r="N7" s="5" t="s">
        <v>266</v>
      </c>
      <c r="O7" s="15" t="str">
        <f aca="false">IF(COUNT(L5:L34)&lt;2,"-",STDEV(L5:L34))</f>
        <v>-</v>
      </c>
    </row>
    <row r="8" customFormat="false" ht="15" hidden="false" customHeight="false" outlineLevel="0" collapsed="false">
      <c r="A8" s="7" t="s">
        <v>267</v>
      </c>
      <c r="B8" s="7"/>
      <c r="C8" s="7"/>
      <c r="D8" s="7"/>
      <c r="E8" s="7"/>
      <c r="F8" s="7"/>
      <c r="G8" s="7"/>
      <c r="H8" s="7"/>
      <c r="I8" s="7"/>
      <c r="J8" s="7"/>
      <c r="K8" s="7"/>
      <c r="L8" s="15" t="str">
        <f aca="false">IF(COUNT(B8:K8)=10,((B8-1)+(5-C8)+(D8-1)+(5-E8)+(F8-1)+(5-G8)+(H8-1)+(5-I8)+(J8-1)+(5-K8))*2.5,"")</f>
        <v/>
      </c>
      <c r="N8" s="5" t="s">
        <v>268</v>
      </c>
      <c r="O8" s="15" t="str">
        <f aca="false">IF(COUNT(L5:L34)=0,"-",MIN(L5:L34))</f>
        <v>-</v>
      </c>
    </row>
    <row r="9" customFormat="false" ht="15" hidden="false" customHeight="false" outlineLevel="0" collapsed="false">
      <c r="A9" s="7" t="s">
        <v>269</v>
      </c>
      <c r="B9" s="7"/>
      <c r="C9" s="7"/>
      <c r="D9" s="7"/>
      <c r="E9" s="7"/>
      <c r="F9" s="7"/>
      <c r="G9" s="7"/>
      <c r="H9" s="7"/>
      <c r="I9" s="7"/>
      <c r="J9" s="7"/>
      <c r="K9" s="7"/>
      <c r="L9" s="15" t="str">
        <f aca="false">IF(COUNT(B9:K9)=10,((B9-1)+(5-C9)+(D9-1)+(5-E9)+(F9-1)+(5-G9)+(H9-1)+(5-I9)+(J9-1)+(5-K9))*2.5,"")</f>
        <v/>
      </c>
      <c r="N9" s="5" t="s">
        <v>270</v>
      </c>
      <c r="O9" s="15" t="str">
        <f aca="false">IF(COUNT(L5:L34)=0,"-",MAX(L5:L34))</f>
        <v>-</v>
      </c>
    </row>
    <row r="10" customFormat="false" ht="15" hidden="false" customHeight="false" outlineLevel="0" collapsed="false">
      <c r="A10" s="7" t="s">
        <v>271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15" t="str">
        <f aca="false">IF(COUNT(B10:K10)=10,((B10-1)+(5-C10)+(D10-1)+(5-E10)+(F10-1)+(5-G10)+(H10-1)+(5-I10)+(J10-1)+(5-K10))*2.5,"")</f>
        <v/>
      </c>
      <c r="N10" s="5" t="s">
        <v>272</v>
      </c>
      <c r="O10" s="16" t="str">
        <f aca="false">IF(COUNT(L5:L34)=0,"-",IF(AVERAGE(L5:L34)&gt;68,"Yes","No"))</f>
        <v>-</v>
      </c>
    </row>
    <row r="11" customFormat="false" ht="15" hidden="false" customHeight="false" outlineLevel="0" collapsed="false">
      <c r="A11" s="7" t="s">
        <v>273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5" t="str">
        <f aca="false">IF(COUNT(B11:K11)=10,((B11-1)+(5-C11)+(D11-1)+(5-E11)+(F11-1)+(5-G11)+(H11-1)+(5-I11)+(J11-1)+(5-K11))*2.5,"")</f>
        <v/>
      </c>
    </row>
    <row r="12" customFormat="false" ht="15" hidden="false" customHeight="false" outlineLevel="0" collapsed="false">
      <c r="A12" s="7" t="s">
        <v>274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15" t="str">
        <f aca="false">IF(COUNT(B12:K12)=10,((B12-1)+(5-C12)+(D12-1)+(5-E12)+(F12-1)+(5-G12)+(H12-1)+(5-I12)+(J12-1)+(5-K12))*2.5,"")</f>
        <v/>
      </c>
      <c r="N12" s="11" t="s">
        <v>275</v>
      </c>
    </row>
    <row r="13" customFormat="false" ht="15" hidden="false" customHeight="false" outlineLevel="0" collapsed="false">
      <c r="A13" s="7" t="s">
        <v>276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15" t="str">
        <f aca="false">IF(COUNT(B13:K13)=10,((B13-1)+(5-C13)+(D13-1)+(5-E13)+(F13-1)+(5-G13)+(H13-1)+(5-I13)+(J13-1)+(5-K13))*2.5,"")</f>
        <v/>
      </c>
      <c r="N13" s="17" t="s">
        <v>277</v>
      </c>
    </row>
    <row r="14" customFormat="false" ht="15" hidden="false" customHeight="false" outlineLevel="0" collapsed="false">
      <c r="A14" s="7" t="s">
        <v>278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15" t="str">
        <f aca="false">IF(COUNT(B14:K14)=10,((B14-1)+(5-C14)+(D14-1)+(5-E14)+(F14-1)+(5-G14)+(H14-1)+(5-I14)+(J14-1)+(5-K14))*2.5,"")</f>
        <v/>
      </c>
      <c r="N14" s="17" t="s">
        <v>279</v>
      </c>
    </row>
    <row r="15" customFormat="false" ht="15" hidden="false" customHeight="false" outlineLevel="0" collapsed="false">
      <c r="A15" s="7" t="s">
        <v>280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15" t="str">
        <f aca="false">IF(COUNT(B15:K15)=10,((B15-1)+(5-C15)+(D15-1)+(5-E15)+(F15-1)+(5-G15)+(H15-1)+(5-I15)+(J15-1)+(5-K15))*2.5,"")</f>
        <v/>
      </c>
      <c r="N15" s="17" t="s">
        <v>281</v>
      </c>
    </row>
    <row r="16" customFormat="false" ht="15" hidden="false" customHeight="false" outlineLevel="0" collapsed="false">
      <c r="A16" s="7" t="s">
        <v>282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15" t="str">
        <f aca="false">IF(COUNT(B16:K16)=10,((B16-1)+(5-C16)+(D16-1)+(5-E16)+(F16-1)+(5-G16)+(H16-1)+(5-I16)+(J16-1)+(5-K16))*2.5,"")</f>
        <v/>
      </c>
      <c r="N16" s="17" t="s">
        <v>283</v>
      </c>
    </row>
    <row r="17" customFormat="false" ht="15" hidden="false" customHeight="false" outlineLevel="0" collapsed="false">
      <c r="A17" s="7" t="s">
        <v>284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15" t="str">
        <f aca="false">IF(COUNT(B17:K17)=10,((B17-1)+(5-C17)+(D17-1)+(5-E17)+(F17-1)+(5-G17)+(H17-1)+(5-I17)+(J17-1)+(5-K17))*2.5,"")</f>
        <v/>
      </c>
      <c r="N17" s="17" t="s">
        <v>285</v>
      </c>
    </row>
    <row r="18" customFormat="false" ht="15" hidden="false" customHeight="false" outlineLevel="0" collapsed="false">
      <c r="A18" s="7" t="s">
        <v>286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15" t="str">
        <f aca="false">IF(COUNT(B18:K18)=10,((B18-1)+(5-C18)+(D18-1)+(5-E18)+(F18-1)+(5-G18)+(H18-1)+(5-I18)+(J18-1)+(5-K18))*2.5,"")</f>
        <v/>
      </c>
      <c r="N18" s="17" t="s">
        <v>287</v>
      </c>
    </row>
    <row r="19" customFormat="false" ht="15" hidden="false" customHeight="false" outlineLevel="0" collapsed="false">
      <c r="A19" s="7" t="s">
        <v>288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15" t="str">
        <f aca="false">IF(COUNT(B19:K19)=10,((B19-1)+(5-C19)+(D19-1)+(5-E19)+(F19-1)+(5-G19)+(H19-1)+(5-I19)+(J19-1)+(5-K19))*2.5,"")</f>
        <v/>
      </c>
      <c r="N19" s="17" t="s">
        <v>289</v>
      </c>
    </row>
    <row r="20" customFormat="false" ht="15" hidden="false" customHeight="false" outlineLevel="0" collapsed="false">
      <c r="A20" s="7" t="s">
        <v>290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15" t="str">
        <f aca="false">IF(COUNT(B20:K20)=10,((B20-1)+(5-C20)+(D20-1)+(5-E20)+(F20-1)+(5-G20)+(H20-1)+(5-I20)+(J20-1)+(5-K20))*2.5,"")</f>
        <v/>
      </c>
      <c r="N20" s="17" t="s">
        <v>291</v>
      </c>
    </row>
    <row r="21" customFormat="false" ht="15" hidden="false" customHeight="false" outlineLevel="0" collapsed="false">
      <c r="A21" s="7" t="s">
        <v>292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15" t="str">
        <f aca="false">IF(COUNT(B21:K21)=10,((B21-1)+(5-C21)+(D21-1)+(5-E21)+(F21-1)+(5-G21)+(H21-1)+(5-I21)+(J21-1)+(5-K21))*2.5,"")</f>
        <v/>
      </c>
      <c r="N21" s="17" t="s">
        <v>293</v>
      </c>
    </row>
    <row r="22" customFormat="false" ht="15" hidden="false" customHeight="false" outlineLevel="0" collapsed="false">
      <c r="A22" s="7" t="s">
        <v>294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5" t="str">
        <f aca="false">IF(COUNT(B22:K22)=10,((B22-1)+(5-C22)+(D22-1)+(5-E22)+(F22-1)+(5-G22)+(H22-1)+(5-I22)+(J22-1)+(5-K22))*2.5,"")</f>
        <v/>
      </c>
      <c r="N22" s="17" t="s">
        <v>295</v>
      </c>
    </row>
    <row r="23" customFormat="false" ht="15" hidden="false" customHeight="false" outlineLevel="0" collapsed="false">
      <c r="A23" s="7" t="s">
        <v>296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15" t="str">
        <f aca="false">IF(COUNT(B23:K23)=10,((B23-1)+(5-C23)+(D23-1)+(5-E23)+(F23-1)+(5-G23)+(H23-1)+(5-I23)+(J23-1)+(5-K23))*2.5,"")</f>
        <v/>
      </c>
    </row>
    <row r="24" customFormat="false" ht="15" hidden="false" customHeight="false" outlineLevel="0" collapsed="false">
      <c r="A24" s="7" t="s">
        <v>297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15" t="str">
        <f aca="false">IF(COUNT(B24:K24)=10,((B24-1)+(5-C24)+(D24-1)+(5-E24)+(F24-1)+(5-G24)+(H24-1)+(5-I24)+(J24-1)+(5-K24))*2.5,"")</f>
        <v/>
      </c>
    </row>
    <row r="25" customFormat="false" ht="15" hidden="false" customHeight="false" outlineLevel="0" collapsed="false">
      <c r="A25" s="7" t="s">
        <v>298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15" t="str">
        <f aca="false">IF(COUNT(B25:K25)=10,((B25-1)+(5-C25)+(D25-1)+(5-E25)+(F25-1)+(5-G25)+(H25-1)+(5-I25)+(J25-1)+(5-K25))*2.5,"")</f>
        <v/>
      </c>
    </row>
    <row r="26" customFormat="false" ht="15" hidden="false" customHeight="false" outlineLevel="0" collapsed="false">
      <c r="A26" s="7" t="s">
        <v>299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15" t="str">
        <f aca="false">IF(COUNT(B26:K26)=10,((B26-1)+(5-C26)+(D26-1)+(5-E26)+(F26-1)+(5-G26)+(H26-1)+(5-I26)+(J26-1)+(5-K26))*2.5,"")</f>
        <v/>
      </c>
    </row>
    <row r="27" customFormat="false" ht="15" hidden="false" customHeight="false" outlineLevel="0" collapsed="false">
      <c r="A27" s="7" t="s">
        <v>300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15" t="str">
        <f aca="false">IF(COUNT(B27:K27)=10,((B27-1)+(5-C27)+(D27-1)+(5-E27)+(F27-1)+(5-G27)+(H27-1)+(5-I27)+(J27-1)+(5-K27))*2.5,"")</f>
        <v/>
      </c>
    </row>
    <row r="28" customFormat="false" ht="15" hidden="false" customHeight="false" outlineLevel="0" collapsed="false">
      <c r="A28" s="7" t="s">
        <v>301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15" t="str">
        <f aca="false">IF(COUNT(B28:K28)=10,((B28-1)+(5-C28)+(D28-1)+(5-E28)+(F28-1)+(5-G28)+(H28-1)+(5-I28)+(J28-1)+(5-K28))*2.5,"")</f>
        <v/>
      </c>
    </row>
    <row r="29" customFormat="false" ht="15" hidden="false" customHeight="false" outlineLevel="0" collapsed="false">
      <c r="A29" s="7" t="s">
        <v>302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15" t="str">
        <f aca="false">IF(COUNT(B29:K29)=10,((B29-1)+(5-C29)+(D29-1)+(5-E29)+(F29-1)+(5-G29)+(H29-1)+(5-I29)+(J29-1)+(5-K29))*2.5,"")</f>
        <v/>
      </c>
    </row>
    <row r="30" customFormat="false" ht="15" hidden="false" customHeight="false" outlineLevel="0" collapsed="false">
      <c r="A30" s="7" t="s">
        <v>303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15" t="str">
        <f aca="false">IF(COUNT(B30:K30)=10,((B30-1)+(5-C30)+(D30-1)+(5-E30)+(F30-1)+(5-G30)+(H30-1)+(5-I30)+(J30-1)+(5-K30))*2.5,"")</f>
        <v/>
      </c>
    </row>
    <row r="31" customFormat="false" ht="15" hidden="false" customHeight="false" outlineLevel="0" collapsed="false">
      <c r="A31" s="7" t="s">
        <v>304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15" t="str">
        <f aca="false">IF(COUNT(B31:K31)=10,((B31-1)+(5-C31)+(D31-1)+(5-E31)+(F31-1)+(5-G31)+(H31-1)+(5-I31)+(J31-1)+(5-K31))*2.5,"")</f>
        <v/>
      </c>
    </row>
    <row r="32" customFormat="false" ht="15" hidden="false" customHeight="false" outlineLevel="0" collapsed="false">
      <c r="A32" s="7" t="s">
        <v>305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15" t="str">
        <f aca="false">IF(COUNT(B32:K32)=10,((B32-1)+(5-C32)+(D32-1)+(5-E32)+(F32-1)+(5-G32)+(H32-1)+(5-I32)+(J32-1)+(5-K32))*2.5,"")</f>
        <v/>
      </c>
    </row>
    <row r="33" customFormat="false" ht="15" hidden="false" customHeight="false" outlineLevel="0" collapsed="false">
      <c r="A33" s="7" t="s">
        <v>306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5" t="str">
        <f aca="false">IF(COUNT(B33:K33)=10,((B33-1)+(5-C33)+(D33-1)+(5-E33)+(F33-1)+(5-G33)+(H33-1)+(5-I33)+(J33-1)+(5-K33))*2.5,"")</f>
        <v/>
      </c>
    </row>
    <row r="34" customFormat="false" ht="15" hidden="false" customHeight="false" outlineLevel="0" collapsed="false">
      <c r="A34" s="7" t="s">
        <v>307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15" t="str">
        <f aca="false">IF(COUNT(B34:K34)=10,((B34-1)+(5-C34)+(D34-1)+(5-E34)+(F34-1)+(5-G34)+(H34-1)+(5-I34)+(J34-1)+(5-K34))*2.5,"")</f>
        <v/>
      </c>
    </row>
  </sheetData>
  <dataValidations count="1">
    <dataValidation allowBlank="true" error="Use 1 (strongly disagree) to 5 (strongly agree)." errorStyle="stop" operator="between" showDropDown="false" showErrorMessage="true" showInputMessage="false" sqref="B5:K3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7" min="3" style="0" width="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11" t="s">
        <v>308</v>
      </c>
    </row>
    <row r="3" customFormat="false" ht="26.85" hidden="false" customHeight="false" outlineLevel="0" collapsed="false">
      <c r="A3" s="4" t="s">
        <v>309</v>
      </c>
      <c r="B3" s="4" t="s">
        <v>310</v>
      </c>
      <c r="C3" s="4" t="s">
        <v>311</v>
      </c>
      <c r="D3" s="4" t="s">
        <v>312</v>
      </c>
      <c r="E3" s="4" t="s">
        <v>313</v>
      </c>
      <c r="F3" s="4" t="s">
        <v>314</v>
      </c>
      <c r="G3" s="4" t="s">
        <v>315</v>
      </c>
      <c r="H3" s="4" t="s">
        <v>217</v>
      </c>
      <c r="I3" s="4" t="s">
        <v>316</v>
      </c>
      <c r="J3" s="4" t="s">
        <v>317</v>
      </c>
    </row>
    <row r="4" customFormat="false" ht="15" hidden="false" customHeight="false" outlineLevel="0" collapsed="false">
      <c r="A4" s="5" t="s">
        <v>318</v>
      </c>
      <c r="B4" s="6" t="s">
        <v>319</v>
      </c>
      <c r="C4" s="7"/>
      <c r="D4" s="7"/>
      <c r="E4" s="7"/>
      <c r="F4" s="7"/>
      <c r="G4" s="7"/>
      <c r="H4" s="6" t="n">
        <f aca="false">SUM(C4:G4)</f>
        <v>0</v>
      </c>
      <c r="I4" s="10" t="str">
        <f aca="false">IF(H4=0,"-",(F4+G4)/H4)</f>
        <v>-</v>
      </c>
      <c r="J4" s="15" t="str">
        <f aca="false">IF(H4=0,"-",(C4*1+D4*2+E4*3+F4*4+G4*5)/H4)</f>
        <v>-</v>
      </c>
    </row>
    <row r="5" customFormat="false" ht="15" hidden="false" customHeight="false" outlineLevel="0" collapsed="false">
      <c r="A5" s="5" t="s">
        <v>320</v>
      </c>
      <c r="B5" s="6" t="s">
        <v>321</v>
      </c>
      <c r="C5" s="7"/>
      <c r="D5" s="7"/>
      <c r="E5" s="7"/>
      <c r="F5" s="7"/>
      <c r="G5" s="7"/>
      <c r="H5" s="6" t="n">
        <f aca="false">SUM(C5:G5)</f>
        <v>0</v>
      </c>
      <c r="I5" s="10" t="str">
        <f aca="false">IF(H5=0,"-",(F5+G5)/H5)</f>
        <v>-</v>
      </c>
      <c r="J5" s="15" t="str">
        <f aca="false">IF(H5=0,"-",(C5*1+D5*2+E5*3+F5*4+G5*5)/H5)</f>
        <v>-</v>
      </c>
    </row>
    <row r="6" customFormat="false" ht="15" hidden="false" customHeight="false" outlineLevel="0" collapsed="false">
      <c r="A6" s="5" t="s">
        <v>322</v>
      </c>
      <c r="B6" s="6" t="s">
        <v>323</v>
      </c>
      <c r="C6" s="7"/>
      <c r="D6" s="7"/>
      <c r="E6" s="7"/>
      <c r="F6" s="7"/>
      <c r="G6" s="7"/>
      <c r="H6" s="6" t="n">
        <f aca="false">SUM(C6:G6)</f>
        <v>0</v>
      </c>
      <c r="I6" s="10" t="str">
        <f aca="false">IF(H6=0,"-",(F6+G6)/H6)</f>
        <v>-</v>
      </c>
      <c r="J6" s="15" t="str">
        <f aca="false">IF(H6=0,"-",(C6*1+D6*2+E6*3+F6*4+G6*5)/H6)</f>
        <v>-</v>
      </c>
    </row>
    <row r="7" customFormat="false" ht="15" hidden="false" customHeight="false" outlineLevel="0" collapsed="false">
      <c r="A7" s="5" t="s">
        <v>324</v>
      </c>
      <c r="B7" s="6" t="s">
        <v>325</v>
      </c>
      <c r="C7" s="7"/>
      <c r="D7" s="7"/>
      <c r="E7" s="7"/>
      <c r="F7" s="7"/>
      <c r="G7" s="7"/>
      <c r="H7" s="6" t="n">
        <f aca="false">SUM(C7:G7)</f>
        <v>0</v>
      </c>
      <c r="I7" s="10" t="str">
        <f aca="false">IF(H7=0,"-",(F7+G7)/H7)</f>
        <v>-</v>
      </c>
      <c r="J7" s="15" t="str">
        <f aca="false">IF(H7=0,"-",(C7*1+D7*2+E7*3+F7*4+G7*5)/H7)</f>
        <v>-</v>
      </c>
    </row>
    <row r="8" customFormat="false" ht="15" hidden="false" customHeight="false" outlineLevel="0" collapsed="false">
      <c r="A8" s="5" t="s">
        <v>326</v>
      </c>
      <c r="B8" s="6" t="s">
        <v>327</v>
      </c>
      <c r="C8" s="7"/>
      <c r="D8" s="7"/>
      <c r="E8" s="7"/>
      <c r="F8" s="7"/>
      <c r="G8" s="7"/>
      <c r="H8" s="6" t="n">
        <f aca="false">SUM(C8:G8)</f>
        <v>0</v>
      </c>
      <c r="I8" s="10" t="str">
        <f aca="false">IF(H8=0,"-",(F8+G8)/H8)</f>
        <v>-</v>
      </c>
      <c r="J8" s="15" t="str">
        <f aca="false">IF(H8=0,"-",(C8*1+D8*2+E8*3+F8*4+G8*5)/H8)</f>
        <v>-</v>
      </c>
    </row>
    <row r="9" customFormat="false" ht="26.85" hidden="false" customHeight="false" outlineLevel="0" collapsed="false">
      <c r="A9" s="5" t="s">
        <v>328</v>
      </c>
      <c r="B9" s="6" t="s">
        <v>329</v>
      </c>
      <c r="C9" s="7"/>
      <c r="D9" s="7"/>
      <c r="E9" s="7"/>
      <c r="F9" s="7"/>
      <c r="G9" s="7"/>
      <c r="H9" s="6" t="n">
        <f aca="false">SUM(C9:G9)</f>
        <v>0</v>
      </c>
      <c r="I9" s="10" t="str">
        <f aca="false">IF(H9=0,"-",(F9+G9)/H9)</f>
        <v>-</v>
      </c>
      <c r="J9" s="15" t="str">
        <f aca="false">IF(H9=0,"-",(C9*1+D9*2+E9*3+F9*4+G9*5)/H9)</f>
        <v>-</v>
      </c>
    </row>
    <row r="10" customFormat="false" ht="15" hidden="false" customHeight="false" outlineLevel="0" collapsed="false">
      <c r="A10" s="5" t="s">
        <v>330</v>
      </c>
      <c r="B10" s="6" t="s">
        <v>331</v>
      </c>
      <c r="C10" s="7"/>
      <c r="D10" s="7"/>
      <c r="E10" s="7"/>
      <c r="F10" s="7"/>
      <c r="G10" s="7"/>
      <c r="H10" s="6" t="n">
        <f aca="false">SUM(C10:G10)</f>
        <v>0</v>
      </c>
      <c r="I10" s="10" t="str">
        <f aca="false">IF(H10=0,"-",(F10+G10)/H10)</f>
        <v>-</v>
      </c>
      <c r="J10" s="15" t="str">
        <f aca="false">IF(H10=0,"-",(C10*1+D10*2+E10*3+F10*4+G10*5)/H10)</f>
        <v>-</v>
      </c>
    </row>
    <row r="11" customFormat="false" ht="15" hidden="false" customHeight="false" outlineLevel="0" collapsed="false">
      <c r="A11" s="5" t="s">
        <v>332</v>
      </c>
      <c r="B11" s="6" t="s">
        <v>333</v>
      </c>
      <c r="C11" s="7"/>
      <c r="D11" s="7"/>
      <c r="E11" s="7"/>
      <c r="F11" s="7"/>
      <c r="G11" s="7"/>
      <c r="H11" s="6" t="n">
        <f aca="false">SUM(C11:G11)</f>
        <v>0</v>
      </c>
      <c r="I11" s="10" t="str">
        <f aca="false">IF(H11=0,"-",(F11+G11)/H11)</f>
        <v>-</v>
      </c>
      <c r="J11" s="15" t="str">
        <f aca="false">IF(H11=0,"-",(C11*1+D11*2+E11*3+F11*4+G11*5)/H11)</f>
        <v>-</v>
      </c>
    </row>
    <row r="12" customFormat="false" ht="15" hidden="false" customHeight="false" outlineLevel="0" collapsed="false">
      <c r="A12" s="5" t="s">
        <v>334</v>
      </c>
      <c r="B12" s="6" t="s">
        <v>335</v>
      </c>
      <c r="C12" s="7"/>
      <c r="D12" s="7"/>
      <c r="E12" s="7"/>
      <c r="F12" s="7"/>
      <c r="G12" s="7"/>
      <c r="H12" s="6" t="n">
        <f aca="false">SUM(C12:G12)</f>
        <v>0</v>
      </c>
      <c r="I12" s="10" t="str">
        <f aca="false">IF(H12=0,"-",(F12+G12)/H12)</f>
        <v>-</v>
      </c>
      <c r="J12" s="15" t="str">
        <f aca="false">IF(H12=0,"-",(C12*1+D12*2+E12*3+F12*4+G12*5)/H12)</f>
        <v>-</v>
      </c>
    </row>
    <row r="13" customFormat="false" ht="15" hidden="false" customHeight="false" outlineLevel="0" collapsed="false">
      <c r="A13" s="5" t="s">
        <v>336</v>
      </c>
      <c r="B13" s="6" t="s">
        <v>337</v>
      </c>
      <c r="C13" s="7"/>
      <c r="D13" s="7"/>
      <c r="E13" s="7"/>
      <c r="F13" s="7"/>
      <c r="G13" s="7"/>
      <c r="H13" s="6" t="n">
        <f aca="false">SUM(C13:G13)</f>
        <v>0</v>
      </c>
      <c r="I13" s="10" t="str">
        <f aca="false">IF(H13=0,"-",(F13+G13)/H13)</f>
        <v>-</v>
      </c>
      <c r="J13" s="15" t="str">
        <f aca="false">IF(H13=0,"-",(C13*1+D13*2+E13*3+F13*4+G13*5)/H13)</f>
        <v>-</v>
      </c>
    </row>
    <row r="15" customFormat="false" ht="15" hidden="false" customHeight="false" outlineLevel="0" collapsed="false">
      <c r="B15" s="12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4" t="s">
        <v>339</v>
      </c>
      <c r="B1" s="4" t="s">
        <v>340</v>
      </c>
      <c r="C1" s="4" t="s">
        <v>341</v>
      </c>
      <c r="D1" s="4" t="s">
        <v>342</v>
      </c>
      <c r="E1" s="4" t="s">
        <v>343</v>
      </c>
      <c r="F1" s="4" t="s">
        <v>344</v>
      </c>
      <c r="G1" s="4" t="s">
        <v>345</v>
      </c>
    </row>
    <row r="2" customFormat="false" ht="26.85" hidden="false" customHeight="false" outlineLevel="0" collapsed="false">
      <c r="A2" s="13" t="s">
        <v>259</v>
      </c>
      <c r="B2" s="13" t="s">
        <v>164</v>
      </c>
      <c r="C2" s="13" t="s">
        <v>346</v>
      </c>
      <c r="D2" s="13" t="s">
        <v>347</v>
      </c>
      <c r="E2" s="13" t="s">
        <v>348</v>
      </c>
      <c r="F2" s="13" t="s">
        <v>349</v>
      </c>
      <c r="G2" s="13" t="s">
        <v>350</v>
      </c>
    </row>
    <row r="3" customFormat="false" ht="15" hidden="false" customHeight="false" outlineLevel="0" collapsed="false">
      <c r="A3" s="6" t="s">
        <v>351</v>
      </c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6" t="s">
        <v>352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6" t="s">
        <v>353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6" t="s">
        <v>354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355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6" t="s">
        <v>356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6" t="s">
        <v>357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6" t="s">
        <v>358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6" t="s">
        <v>359</v>
      </c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6" t="s">
        <v>360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6" t="s">
        <v>361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362</v>
      </c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6" t="s">
        <v>363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6" t="s">
        <v>364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365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6" t="s">
        <v>366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6" t="s">
        <v>367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6" t="s">
        <v>368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369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6" t="s">
        <v>370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6" t="s">
        <v>371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6" t="s">
        <v>372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373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374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6" t="s">
        <v>375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6" t="s">
        <v>376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377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378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6" t="s">
        <v>379</v>
      </c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6" t="s">
        <v>380</v>
      </c>
      <c r="B32" s="7"/>
      <c r="C32" s="7"/>
      <c r="D32" s="7"/>
      <c r="E32" s="7"/>
      <c r="F32" s="7"/>
      <c r="G32" s="7"/>
    </row>
  </sheetData>
  <dataValidations count="2">
    <dataValidation allowBlank="true" errorStyle="stop" operator="between" showDropDown="false" showErrorMessage="false" showInputMessage="false" sqref="E3:E32" type="list">
      <formula1>"Critical,Major,Minor,Cosmetic"</formula1>
      <formula2>0</formula2>
    </dataValidation>
    <dataValidation allowBlank="true" errorStyle="stop" operator="between" showDropDown="false" showErrorMessage="false" showInputMessage="false" sqref="F3:F32" type="list">
      <formula1>"Open,Fixed,Won't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2026-10-13T16:44:29Z</dcterms:created>
  <dc:creator>openpyxl</dc:creator>
  <dc:description/>
  <dc:language>en-US</dc:language>
  <cp:lastModifiedBy/>
  <dcterms:modified xsi:type="dcterms:W3CDTF">2026-10-13T16:44:29Z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